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OLTEK\Semester 6\machine-learning\Machine-Learning\WEEK 5\"/>
    </mc:Choice>
  </mc:AlternateContent>
  <xr:revisionPtr revIDLastSave="0" documentId="8_{C520E2E7-F871-4F2A-A777-E3E55F312FD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AG12" i="1" l="1"/>
  <c r="AI15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12" i="1"/>
  <c r="AI13" i="1"/>
  <c r="AI14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40" i="1"/>
  <c r="AG41" i="1"/>
  <c r="AG42" i="1"/>
  <c r="AG44" i="1"/>
  <c r="AG47" i="1"/>
  <c r="AG51" i="1"/>
  <c r="AG45" i="1"/>
  <c r="AG46" i="1"/>
  <c r="AG39" i="1"/>
  <c r="AG43" i="1"/>
  <c r="AG48" i="1"/>
  <c r="AG54" i="1"/>
  <c r="AG56" i="1"/>
  <c r="AG49" i="1"/>
  <c r="AG50" i="1"/>
  <c r="AG52" i="1"/>
  <c r="AG53" i="1"/>
  <c r="AG55" i="1"/>
  <c r="AG57" i="1"/>
  <c r="AG38" i="1"/>
  <c r="T20" i="1"/>
  <c r="T27" i="1"/>
  <c r="T28" i="1"/>
  <c r="T18" i="1"/>
  <c r="T29" i="1"/>
  <c r="T31" i="1"/>
  <c r="T19" i="1"/>
  <c r="T32" i="1"/>
  <c r="T25" i="1"/>
  <c r="T21" i="1"/>
  <c r="T22" i="1"/>
  <c r="T34" i="1"/>
  <c r="T36" i="1"/>
  <c r="T23" i="1"/>
  <c r="T30" i="1"/>
  <c r="T33" i="1"/>
  <c r="T26" i="1"/>
  <c r="T35" i="1"/>
  <c r="T37" i="1"/>
  <c r="T24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<sst xmlns="http://schemas.openxmlformats.org/spreadsheetml/2006/main" count="151" uniqueCount="35">
  <si>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</si>
  <si>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</si>
  <si>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</si>
  <si>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</si>
  <si>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</si>
  <si>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</si>
  <si>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</si>
  <si>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</si>
  <si>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</si>
  <si>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</si>
  <si>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</si>
  <si>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</si>
  <si>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# Urutkan data berdasarkan jarak dari yang terkecil</t>
  </si>
  <si>
    <t>?</t>
  </si>
  <si>
    <t>Visualisasi Persebaran Data Setelah Menggunakan Model KNN (AFTER)</t>
  </si>
  <si>
    <t>X1 = 6</t>
  </si>
  <si>
    <t>Jarak dari (6,5)</t>
  </si>
  <si>
    <t>3 - 6 Pemilihan Jumlah Tetangga (K = 5) dan identifikasi tetangga terdekat</t>
  </si>
  <si>
    <t># Tentukan 5 tetangga terdekat</t>
  </si>
  <si>
    <t>ID 6 = Jarak 2 = Kelas B</t>
  </si>
  <si>
    <t>ID 7 = Jarak 2 = Kelas A</t>
  </si>
  <si>
    <t>ID 5 = Jarak 3 = Kelas B</t>
  </si>
  <si>
    <t>ID 16 = Jarak 3 = Kelas B</t>
  </si>
  <si>
    <t>ID 8 = Jarak 3 = Kelas A</t>
  </si>
  <si>
    <t>Mayoritas adalah B (3 suara B, 2 suara A)</t>
  </si>
  <si>
    <r>
      <t>Maka titik baru (X1 = 6,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</si>
  <si>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X1_A</t>
  </si>
  <si>
    <t>X2_A</t>
  </si>
  <si>
    <t>X1_B</t>
  </si>
  <si>
    <t>X2_B</t>
  </si>
  <si>
    <t>X1_KKN</t>
  </si>
  <si>
    <t>X2_KKN</t>
  </si>
  <si>
    <t>Menggunakan jarak Manhattan Distance, untuk menghitung jarak antara titik baru (X1 = 6, X2 = 5) dari setiap titik data.</t>
  </si>
  <si>
    <t>Ferry Limarch Lionando</t>
  </si>
  <si>
    <t>RE Malam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</si>
</sst>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  <xf numFmtId="0" fontId="1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1-40F2-9578-DED1B8D9C00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1-40F2-9578-DED1B8D9C00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1-40F2-9578-DED1B8D9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D-40D6-B461-F75CC181301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D-40D6-B461-F75CC181301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D-40D6-B461-F75CC1813014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Sheet1!$AI$38:$AI$42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D-40D6-B461-F75CC18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FEB4-D0DD-0FAB-B659-AEF8B30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93C6B-7B4A-4037-8C3A-9AC1AA41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844551</xdr:colOff>
      <xdr:row>44</xdr:row>
      <xdr:rowOff>57150</xdr:rowOff>
    </xdr:from>
    <xdr:to>
      <xdr:col>37</xdr:col>
      <xdr:colOff>184151</xdr:colOff>
      <xdr:row>47</xdr:row>
      <xdr:rowOff>25400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F69F5B-1EE4-7880-6821-A299A1474073}"/>
            </a:ext>
          </a:extLst>
        </xdr:cNvPr>
        <xdr:cNvSpPr/>
      </xdr:nvSpPr>
      <xdr:spPr>
        <a:xfrm rot="19631519">
          <a:off x="24028401" y="91249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120422</xdr:colOff>
      <xdr:row>2</xdr:row>
      <xdr:rowOff>25284</xdr:rowOff>
    </xdr:from>
    <xdr:to>
      <xdr:col>12</xdr:col>
      <xdr:colOff>678784</xdr:colOff>
      <xdr:row>5</xdr:row>
      <xdr:rowOff>136314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7DB89-3A8A-33C1-3F9C-3861427E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6304" y="802225"/>
          <a:ext cx="2157068" cy="686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1000"/>
  <sheetViews>
    <sheetView tabSelected="1" zoomScale="85" zoomScaleNormal="85" workbookViewId="0">
      <selection activeCell="H17" sqref="H17"/>
    </sheetView>
  </sheetViews>
  <sheetFormatPr defaultColWidth="14.453125" defaultRowHeight="15" customHeight="1" x14ac:dyDescent="0.35"/>
  <cols>
    <col min="1" max="11" width="8.81640625" customWidth="1"/>
    <col min="12" max="13" width="14.08984375" customWidth="1"/>
    <col min="14" max="19" width="8.81640625" customWidth="1"/>
    <col min="20" max="20" width="14.08984375" customWidth="1"/>
    <col min="21" max="21" width="5.81640625" customWidth="1"/>
    <col min="22" max="32" width="8.81640625" customWidth="1"/>
    <col min="33" max="36" width="13.1796875" customWidth="1"/>
    <col min="37" max="42" width="8.81640625" customWidth="1"/>
  </cols>
  <sheetData>
    <row r="1" spans="2:38" ht="15" customHeight="1" thickBot="1" x14ac:dyDescent="0.4"/>
    <row r="2" spans="2:38" ht="46" x14ac:dyDescent="1">
      <c r="B2" s="18" t="s">
        <v>0</v>
      </c>
      <c r="G2" s="34" t="s">
        <v>33</v>
      </c>
      <c r="H2" s="35"/>
      <c r="I2" s="36"/>
      <c r="J2" s="18"/>
    </row>
    <row r="3" spans="2:38" ht="15" customHeight="1" x14ac:dyDescent="0.35">
      <c r="G3" s="37">
        <v>4222311002</v>
      </c>
      <c r="H3" s="38"/>
      <c r="I3" s="39"/>
      <c r="M3" s="38"/>
      <c r="N3" s="38"/>
      <c r="O3" s="38"/>
    </row>
    <row r="4" spans="2:38" thickBot="1" x14ac:dyDescent="0.4">
      <c r="C4" s="1" t="s">
        <v>1</v>
      </c>
      <c r="G4" s="40" t="s">
        <v>34</v>
      </c>
      <c r="H4" s="41"/>
      <c r="I4" s="42"/>
      <c r="M4" s="38"/>
      <c r="N4" s="38"/>
      <c r="O4" s="38"/>
    </row>
    <row r="5" spans="2:38" ht="14.5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43"/>
      <c r="N5" s="43"/>
      <c r="O5" s="43"/>
    </row>
    <row r="6" spans="2:38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2:38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17</v>
      </c>
      <c r="Q7" s="30"/>
      <c r="R7" s="30"/>
      <c r="S7" s="30"/>
    </row>
    <row r="8" spans="2:38" ht="14.5" x14ac:dyDescent="0.35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2:38" ht="15" customHeight="1" x14ac:dyDescent="0.35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2:38" ht="14.5" x14ac:dyDescent="0.35">
      <c r="C10" s="4">
        <v>5</v>
      </c>
      <c r="D10" s="4">
        <v>5</v>
      </c>
      <c r="E10" s="4">
        <v>3</v>
      </c>
      <c r="F10" s="4" t="s">
        <v>9</v>
      </c>
      <c r="H10" s="32" t="s">
        <v>32</v>
      </c>
      <c r="I10" s="29"/>
      <c r="J10" s="29"/>
      <c r="K10" s="29"/>
      <c r="L10" s="29"/>
      <c r="M10" s="29"/>
      <c r="N10" s="29"/>
      <c r="P10" t="s">
        <v>18</v>
      </c>
    </row>
    <row r="11" spans="2:38" ht="14.5" x14ac:dyDescent="0.35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17" t="s">
        <v>19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26</v>
      </c>
      <c r="AH11" s="24" t="s">
        <v>27</v>
      </c>
      <c r="AI11" s="24" t="s">
        <v>28</v>
      </c>
      <c r="AJ11" s="24" t="s">
        <v>29</v>
      </c>
    </row>
    <row r="12" spans="2:38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P12" s="17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2:38" ht="14.5" x14ac:dyDescent="0.35">
      <c r="C13" s="4">
        <v>8</v>
      </c>
      <c r="D13" s="4">
        <v>8</v>
      </c>
      <c r="E13" s="4">
        <v>4</v>
      </c>
      <c r="F13" s="4" t="s">
        <v>7</v>
      </c>
      <c r="P13" s="17" t="s">
        <v>21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2:38" ht="14.5" x14ac:dyDescent="0.35">
      <c r="C14" s="4">
        <v>9</v>
      </c>
      <c r="D14" s="4">
        <v>9</v>
      </c>
      <c r="E14" s="4">
        <v>5</v>
      </c>
      <c r="F14" s="4" t="s">
        <v>9</v>
      </c>
      <c r="P14" s="17" t="s">
        <v>22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2:38" ht="14.5" x14ac:dyDescent="0.35">
      <c r="C15" s="4">
        <v>10</v>
      </c>
      <c r="D15" s="4">
        <v>10</v>
      </c>
      <c r="E15" s="4">
        <v>5</v>
      </c>
      <c r="F15" s="4" t="s">
        <v>7</v>
      </c>
      <c r="P15" s="17" t="s">
        <v>23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2:38" ht="19.5" customHeight="1" x14ac:dyDescent="0.35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5" x14ac:dyDescent="0.35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ABS(I18-6)+ABS(J18-5)</f>
        <v>9</v>
      </c>
      <c r="M18" s="12"/>
      <c r="P18" s="15">
        <v>6</v>
      </c>
      <c r="Q18" s="15">
        <v>6</v>
      </c>
      <c r="R18" s="15">
        <v>3</v>
      </c>
      <c r="S18" s="15" t="s">
        <v>9</v>
      </c>
      <c r="T18" s="9">
        <f t="shared" ref="T18:T37" si="4">ABS(Q18-6)+ABS(R18-5)</f>
        <v>2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5">ABS(I19-6)+ABS(J19-5)</f>
        <v>8</v>
      </c>
      <c r="M19" s="12"/>
      <c r="P19" s="15">
        <v>7</v>
      </c>
      <c r="Q19" s="15">
        <v>7</v>
      </c>
      <c r="R19" s="15">
        <v>4</v>
      </c>
      <c r="S19" s="15" t="s">
        <v>7</v>
      </c>
      <c r="T19" s="9">
        <f t="shared" si="4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5" x14ac:dyDescent="0.35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5"/>
        <v>6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4"/>
        <v>3</v>
      </c>
      <c r="U20" s="13"/>
      <c r="V20" s="17" t="s">
        <v>24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5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5"/>
        <v>5</v>
      </c>
      <c r="M21" s="12"/>
      <c r="P21" s="15">
        <v>16</v>
      </c>
      <c r="Q21" s="15">
        <v>6</v>
      </c>
      <c r="R21" s="15">
        <v>8</v>
      </c>
      <c r="S21" s="15" t="s">
        <v>9</v>
      </c>
      <c r="T21" s="9">
        <f t="shared" si="4"/>
        <v>3</v>
      </c>
      <c r="U21" s="12"/>
      <c r="V21" s="33" t="s">
        <v>25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5"/>
        <v>3</v>
      </c>
      <c r="M22" s="12"/>
      <c r="P22" s="15">
        <v>8</v>
      </c>
      <c r="Q22" s="15">
        <v>8</v>
      </c>
      <c r="R22" s="15">
        <v>4</v>
      </c>
      <c r="S22" s="15" t="s">
        <v>7</v>
      </c>
      <c r="T22" s="9">
        <f t="shared" si="4"/>
        <v>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5"/>
        <v>2</v>
      </c>
      <c r="M23" s="12"/>
      <c r="P23" s="14">
        <v>9</v>
      </c>
      <c r="Q23" s="14">
        <v>9</v>
      </c>
      <c r="R23" s="14">
        <v>5</v>
      </c>
      <c r="S23" s="14" t="s">
        <v>9</v>
      </c>
      <c r="T23" s="9">
        <f t="shared" si="4"/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5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5"/>
        <v>2</v>
      </c>
      <c r="M24" s="12"/>
      <c r="P24" s="14">
        <v>14</v>
      </c>
      <c r="Q24" s="14">
        <v>4</v>
      </c>
      <c r="R24" s="14">
        <v>7</v>
      </c>
      <c r="S24" s="14" t="s">
        <v>7</v>
      </c>
      <c r="T24" s="9">
        <f t="shared" si="4"/>
        <v>4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5"/>
        <v>3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4"/>
        <v>4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5">
      <c r="C26" s="6">
        <v>21</v>
      </c>
      <c r="D26" s="6">
        <v>4</v>
      </c>
      <c r="E26" s="6">
        <v>5</v>
      </c>
      <c r="F26" s="6" t="s">
        <v>13</v>
      </c>
      <c r="H26" s="4">
        <v>9</v>
      </c>
      <c r="I26" s="4">
        <v>9</v>
      </c>
      <c r="J26" s="4">
        <v>5</v>
      </c>
      <c r="K26" s="4" t="s">
        <v>9</v>
      </c>
      <c r="L26" s="8">
        <f t="shared" si="5"/>
        <v>3</v>
      </c>
      <c r="M26" s="12"/>
      <c r="P26" s="14">
        <v>10</v>
      </c>
      <c r="Q26" s="14">
        <v>10</v>
      </c>
      <c r="R26" s="14">
        <v>5</v>
      </c>
      <c r="S26" s="14" t="s">
        <v>7</v>
      </c>
      <c r="T26" s="9">
        <f t="shared" si="4"/>
        <v>4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5">
      <c r="H27" s="4">
        <v>10</v>
      </c>
      <c r="I27" s="4">
        <v>10</v>
      </c>
      <c r="J27" s="4">
        <v>5</v>
      </c>
      <c r="K27" s="4" t="s">
        <v>7</v>
      </c>
      <c r="L27" s="8">
        <f t="shared" si="5"/>
        <v>4</v>
      </c>
      <c r="M27" s="12"/>
      <c r="P27" s="14">
        <v>12</v>
      </c>
      <c r="Q27" s="14">
        <v>2</v>
      </c>
      <c r="R27" s="14">
        <v>6</v>
      </c>
      <c r="S27" s="14" t="s">
        <v>9</v>
      </c>
      <c r="T27" s="9">
        <f t="shared" si="4"/>
        <v>5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5">
      <c r="H28" s="4">
        <v>11</v>
      </c>
      <c r="I28" s="4">
        <v>1</v>
      </c>
      <c r="J28" s="4">
        <v>6</v>
      </c>
      <c r="K28" s="4" t="s">
        <v>9</v>
      </c>
      <c r="L28" s="8">
        <f t="shared" si="5"/>
        <v>6</v>
      </c>
      <c r="M28" s="12"/>
      <c r="P28" s="14">
        <v>13</v>
      </c>
      <c r="Q28" s="14">
        <v>3</v>
      </c>
      <c r="R28" s="14">
        <v>7</v>
      </c>
      <c r="S28" s="14" t="s">
        <v>7</v>
      </c>
      <c r="T28" s="9">
        <f t="shared" si="4"/>
        <v>5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5">
      <c r="H29" s="4">
        <v>12</v>
      </c>
      <c r="I29" s="4">
        <v>2</v>
      </c>
      <c r="J29" s="4">
        <v>6</v>
      </c>
      <c r="K29" s="4" t="s">
        <v>9</v>
      </c>
      <c r="L29" s="8">
        <f t="shared" si="5"/>
        <v>5</v>
      </c>
      <c r="M29" s="12"/>
      <c r="P29" s="14">
        <v>4</v>
      </c>
      <c r="Q29" s="14">
        <v>4</v>
      </c>
      <c r="R29" s="14">
        <v>2</v>
      </c>
      <c r="S29" s="14" t="s">
        <v>9</v>
      </c>
      <c r="T29" s="9">
        <f t="shared" si="4"/>
        <v>5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5">
      <c r="H30" s="4">
        <v>13</v>
      </c>
      <c r="I30" s="4">
        <v>3</v>
      </c>
      <c r="J30" s="4">
        <v>7</v>
      </c>
      <c r="K30" s="4" t="s">
        <v>7</v>
      </c>
      <c r="L30" s="8">
        <f t="shared" si="5"/>
        <v>5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4"/>
        <v>5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5">
      <c r="H31" s="4">
        <v>14</v>
      </c>
      <c r="I31" s="4">
        <v>4</v>
      </c>
      <c r="J31" s="4">
        <v>7</v>
      </c>
      <c r="K31" s="4" t="s">
        <v>7</v>
      </c>
      <c r="L31" s="8">
        <f t="shared" si="5"/>
        <v>4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4"/>
        <v>6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5">
      <c r="H32" s="4">
        <v>15</v>
      </c>
      <c r="I32" s="4">
        <v>5</v>
      </c>
      <c r="J32" s="4">
        <v>8</v>
      </c>
      <c r="K32" s="4" t="s">
        <v>9</v>
      </c>
      <c r="L32" s="8">
        <f t="shared" si="5"/>
        <v>4</v>
      </c>
      <c r="M32" s="12"/>
      <c r="P32" s="14">
        <v>11</v>
      </c>
      <c r="Q32" s="14">
        <v>1</v>
      </c>
      <c r="R32" s="14">
        <v>6</v>
      </c>
      <c r="S32" s="14" t="s">
        <v>9</v>
      </c>
      <c r="T32" s="9">
        <f t="shared" si="4"/>
        <v>6</v>
      </c>
      <c r="U32" s="12"/>
    </row>
    <row r="33" spans="8:35" ht="15.75" customHeight="1" x14ac:dyDescent="0.35">
      <c r="H33" s="4">
        <v>16</v>
      </c>
      <c r="I33" s="4">
        <v>6</v>
      </c>
      <c r="J33" s="4">
        <v>8</v>
      </c>
      <c r="K33" s="4" t="s">
        <v>9</v>
      </c>
      <c r="L33" s="8">
        <f t="shared" si="5"/>
        <v>3</v>
      </c>
      <c r="M33" s="12"/>
      <c r="P33" s="14">
        <v>18</v>
      </c>
      <c r="Q33" s="14">
        <v>8</v>
      </c>
      <c r="R33" s="14">
        <v>9</v>
      </c>
      <c r="S33" s="14" t="s">
        <v>7</v>
      </c>
      <c r="T33" s="9">
        <f t="shared" si="4"/>
        <v>6</v>
      </c>
      <c r="U33" s="12"/>
    </row>
    <row r="34" spans="8:35" ht="15.75" customHeight="1" x14ac:dyDescent="0.35">
      <c r="H34" s="4">
        <v>17</v>
      </c>
      <c r="I34" s="4">
        <v>7</v>
      </c>
      <c r="J34" s="4">
        <v>9</v>
      </c>
      <c r="K34" s="4" t="s">
        <v>7</v>
      </c>
      <c r="L34" s="8">
        <f t="shared" si="5"/>
        <v>5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4"/>
        <v>8</v>
      </c>
      <c r="U34" s="12"/>
      <c r="AC34" s="28" t="s">
        <v>14</v>
      </c>
      <c r="AD34" s="29"/>
      <c r="AE34" s="29"/>
      <c r="AF34" s="29"/>
    </row>
    <row r="35" spans="8:35" ht="15.75" customHeight="1" x14ac:dyDescent="0.35">
      <c r="H35" s="4">
        <v>18</v>
      </c>
      <c r="I35" s="4">
        <v>8</v>
      </c>
      <c r="J35" s="4">
        <v>9</v>
      </c>
      <c r="K35" s="4" t="s">
        <v>7</v>
      </c>
      <c r="L35" s="8">
        <f t="shared" si="5"/>
        <v>6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4"/>
        <v>8</v>
      </c>
      <c r="U35" s="12"/>
      <c r="AC35" s="29"/>
      <c r="AD35" s="29"/>
      <c r="AE35" s="29"/>
      <c r="AF35" s="29"/>
    </row>
    <row r="36" spans="8:35" ht="16.5" customHeight="1" x14ac:dyDescent="0.35">
      <c r="H36" s="4">
        <v>19</v>
      </c>
      <c r="I36" s="4">
        <v>9</v>
      </c>
      <c r="J36" s="4">
        <v>10</v>
      </c>
      <c r="K36" s="4" t="s">
        <v>9</v>
      </c>
      <c r="L36" s="8">
        <f t="shared" si="5"/>
        <v>8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4"/>
        <v>9</v>
      </c>
      <c r="U36" s="12"/>
    </row>
    <row r="37" spans="8:35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 t="shared" si="5"/>
        <v>9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4"/>
        <v>9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30</v>
      </c>
      <c r="AI37" s="27" t="s">
        <v>31</v>
      </c>
    </row>
    <row r="38" spans="8:35" ht="15.75" customHeight="1" x14ac:dyDescent="0.35">
      <c r="AC38" s="15">
        <v>14</v>
      </c>
      <c r="AD38" s="15">
        <v>4</v>
      </c>
      <c r="AE38" s="15">
        <v>7</v>
      </c>
      <c r="AF38" s="15" t="s">
        <v>7</v>
      </c>
      <c r="AG38" s="26">
        <f t="shared" ref="AG38:AG57" si="6">ABS(AD38-5)+ABS(AE38-6)</f>
        <v>2</v>
      </c>
      <c r="AH38" s="23">
        <v>4</v>
      </c>
      <c r="AI38" s="23">
        <v>7</v>
      </c>
    </row>
    <row r="39" spans="8:35" ht="15.75" customHeight="1" x14ac:dyDescent="0.35">
      <c r="AC39" s="15">
        <v>15</v>
      </c>
      <c r="AD39" s="15">
        <v>5</v>
      </c>
      <c r="AE39" s="15">
        <v>8</v>
      </c>
      <c r="AF39" s="15" t="s">
        <v>9</v>
      </c>
      <c r="AG39" s="26">
        <f t="shared" si="6"/>
        <v>2</v>
      </c>
      <c r="AH39" s="23">
        <v>5</v>
      </c>
      <c r="AI39" s="23">
        <v>8</v>
      </c>
    </row>
    <row r="40" spans="8:35" ht="15.75" customHeight="1" x14ac:dyDescent="0.35">
      <c r="AC40" s="15">
        <v>5</v>
      </c>
      <c r="AD40" s="15">
        <v>5</v>
      </c>
      <c r="AE40" s="15">
        <v>3</v>
      </c>
      <c r="AF40" s="15" t="s">
        <v>9</v>
      </c>
      <c r="AG40" s="26">
        <f t="shared" si="6"/>
        <v>3</v>
      </c>
      <c r="AH40" s="23">
        <v>5</v>
      </c>
      <c r="AI40" s="23">
        <v>3</v>
      </c>
    </row>
    <row r="41" spans="8:35" ht="15.75" customHeight="1" x14ac:dyDescent="0.35">
      <c r="AC41" s="15">
        <v>12</v>
      </c>
      <c r="AD41" s="15">
        <v>2</v>
      </c>
      <c r="AE41" s="15">
        <v>6</v>
      </c>
      <c r="AF41" s="15" t="s">
        <v>9</v>
      </c>
      <c r="AG41" s="26">
        <f t="shared" si="6"/>
        <v>3</v>
      </c>
      <c r="AH41" s="23">
        <v>2</v>
      </c>
      <c r="AI41" s="23">
        <v>6</v>
      </c>
    </row>
    <row r="42" spans="8:35" ht="15.75" customHeight="1" x14ac:dyDescent="0.35">
      <c r="AC42" s="15">
        <v>13</v>
      </c>
      <c r="AD42" s="15">
        <v>3</v>
      </c>
      <c r="AE42" s="15">
        <v>7</v>
      </c>
      <c r="AF42" s="15" t="s">
        <v>7</v>
      </c>
      <c r="AG42" s="26">
        <f t="shared" si="6"/>
        <v>3</v>
      </c>
      <c r="AH42" s="23">
        <v>3</v>
      </c>
      <c r="AI42" s="23">
        <v>7</v>
      </c>
    </row>
    <row r="43" spans="8:35" ht="15.75" customHeight="1" x14ac:dyDescent="0.35">
      <c r="AC43" s="4">
        <v>16</v>
      </c>
      <c r="AD43" s="4">
        <v>6</v>
      </c>
      <c r="AE43" s="4">
        <v>8</v>
      </c>
      <c r="AF43" s="4" t="s">
        <v>9</v>
      </c>
      <c r="AG43" s="9">
        <f t="shared" si="6"/>
        <v>3</v>
      </c>
    </row>
    <row r="44" spans="8:35" ht="15.75" customHeight="1" x14ac:dyDescent="0.35">
      <c r="AC44" s="4">
        <v>6</v>
      </c>
      <c r="AD44" s="4">
        <v>6</v>
      </c>
      <c r="AE44" s="4">
        <v>3</v>
      </c>
      <c r="AF44" s="4" t="s">
        <v>9</v>
      </c>
      <c r="AG44" s="9">
        <f t="shared" si="6"/>
        <v>4</v>
      </c>
    </row>
    <row r="45" spans="8:35" ht="15.75" customHeight="1" x14ac:dyDescent="0.35">
      <c r="AC45" s="4">
        <v>7</v>
      </c>
      <c r="AD45" s="4">
        <v>7</v>
      </c>
      <c r="AE45" s="4">
        <v>4</v>
      </c>
      <c r="AF45" s="4" t="s">
        <v>7</v>
      </c>
      <c r="AG45" s="9">
        <f t="shared" si="6"/>
        <v>4</v>
      </c>
    </row>
    <row r="46" spans="8:35" ht="15.75" customHeight="1" x14ac:dyDescent="0.35">
      <c r="AC46" s="4">
        <v>11</v>
      </c>
      <c r="AD46" s="4">
        <v>1</v>
      </c>
      <c r="AE46" s="4">
        <v>6</v>
      </c>
      <c r="AF46" s="4" t="s">
        <v>9</v>
      </c>
      <c r="AG46" s="9">
        <f t="shared" si="6"/>
        <v>4</v>
      </c>
    </row>
    <row r="47" spans="8:35" ht="15.75" customHeight="1" x14ac:dyDescent="0.35">
      <c r="AC47" s="4">
        <v>4</v>
      </c>
      <c r="AD47" s="4">
        <v>4</v>
      </c>
      <c r="AE47" s="4">
        <v>2</v>
      </c>
      <c r="AF47" s="4" t="s">
        <v>9</v>
      </c>
      <c r="AG47" s="9">
        <f t="shared" si="6"/>
        <v>5</v>
      </c>
    </row>
    <row r="48" spans="8:35" ht="15.75" customHeight="1" x14ac:dyDescent="0.35">
      <c r="AC48" s="4">
        <v>8</v>
      </c>
      <c r="AD48" s="4">
        <v>8</v>
      </c>
      <c r="AE48" s="4">
        <v>4</v>
      </c>
      <c r="AF48" s="4" t="s">
        <v>7</v>
      </c>
      <c r="AG48" s="9">
        <f t="shared" si="6"/>
        <v>5</v>
      </c>
    </row>
    <row r="49" spans="29:33" ht="15.75" customHeight="1" x14ac:dyDescent="0.35">
      <c r="AC49" s="4">
        <v>9</v>
      </c>
      <c r="AD49" s="4">
        <v>9</v>
      </c>
      <c r="AE49" s="4">
        <v>5</v>
      </c>
      <c r="AF49" s="4" t="s">
        <v>9</v>
      </c>
      <c r="AG49" s="9">
        <f t="shared" si="6"/>
        <v>5</v>
      </c>
    </row>
    <row r="50" spans="29:33" ht="15.75" customHeight="1" x14ac:dyDescent="0.35">
      <c r="AC50" s="4">
        <v>17</v>
      </c>
      <c r="AD50" s="4">
        <v>7</v>
      </c>
      <c r="AE50" s="4">
        <v>9</v>
      </c>
      <c r="AF50" s="4" t="s">
        <v>7</v>
      </c>
      <c r="AG50" s="9">
        <f t="shared" si="6"/>
        <v>5</v>
      </c>
    </row>
    <row r="51" spans="29:33" ht="15.75" customHeight="1" x14ac:dyDescent="0.35">
      <c r="AC51" s="4">
        <v>3</v>
      </c>
      <c r="AD51" s="4">
        <v>3</v>
      </c>
      <c r="AE51" s="4">
        <v>2</v>
      </c>
      <c r="AF51" s="4" t="s">
        <v>7</v>
      </c>
      <c r="AG51" s="9">
        <f t="shared" si="6"/>
        <v>6</v>
      </c>
    </row>
    <row r="52" spans="29:33" ht="15.75" customHeight="1" x14ac:dyDescent="0.35">
      <c r="AC52" s="4">
        <v>18</v>
      </c>
      <c r="AD52" s="4">
        <v>8</v>
      </c>
      <c r="AE52" s="4">
        <v>9</v>
      </c>
      <c r="AF52" s="4" t="s">
        <v>7</v>
      </c>
      <c r="AG52" s="9">
        <f t="shared" si="6"/>
        <v>6</v>
      </c>
    </row>
    <row r="53" spans="29:33" ht="15.75" customHeight="1" x14ac:dyDescent="0.35">
      <c r="AC53" s="4">
        <v>10</v>
      </c>
      <c r="AD53" s="4">
        <v>10</v>
      </c>
      <c r="AE53" s="4">
        <v>5</v>
      </c>
      <c r="AF53" s="4" t="s">
        <v>7</v>
      </c>
      <c r="AG53" s="9">
        <f t="shared" si="6"/>
        <v>6</v>
      </c>
    </row>
    <row r="54" spans="29:33" ht="15.75" customHeight="1" x14ac:dyDescent="0.35">
      <c r="AC54" s="4">
        <v>2</v>
      </c>
      <c r="AD54" s="4">
        <v>2</v>
      </c>
      <c r="AE54" s="4">
        <v>1</v>
      </c>
      <c r="AF54" s="4" t="s">
        <v>7</v>
      </c>
      <c r="AG54" s="9">
        <f t="shared" si="6"/>
        <v>8</v>
      </c>
    </row>
    <row r="55" spans="29:33" ht="15.75" customHeight="1" x14ac:dyDescent="0.35">
      <c r="AC55" s="4">
        <v>19</v>
      </c>
      <c r="AD55" s="4">
        <v>9</v>
      </c>
      <c r="AE55" s="4">
        <v>10</v>
      </c>
      <c r="AF55" s="4" t="s">
        <v>9</v>
      </c>
      <c r="AG55" s="9">
        <f t="shared" si="6"/>
        <v>8</v>
      </c>
    </row>
    <row r="56" spans="29:33" ht="15.75" customHeight="1" x14ac:dyDescent="0.35">
      <c r="AC56" s="4">
        <v>1</v>
      </c>
      <c r="AD56" s="4">
        <v>1</v>
      </c>
      <c r="AE56" s="4">
        <v>1</v>
      </c>
      <c r="AF56" s="4" t="s">
        <v>7</v>
      </c>
      <c r="AG56" s="9">
        <f t="shared" si="6"/>
        <v>9</v>
      </c>
    </row>
    <row r="57" spans="29:33" ht="15.75" customHeight="1" x14ac:dyDescent="0.35">
      <c r="AC57" s="4">
        <v>20</v>
      </c>
      <c r="AD57" s="4">
        <v>10</v>
      </c>
      <c r="AE57" s="4">
        <v>10</v>
      </c>
      <c r="AF57" s="4" t="s">
        <v>7</v>
      </c>
      <c r="AG57" s="9">
        <f t="shared" si="6"/>
        <v>9</v>
      </c>
    </row>
    <row r="58" spans="29:33" ht="15.75" customHeight="1" x14ac:dyDescent="0.35"/>
    <row r="59" spans="29:33" ht="15.75" customHeight="1" x14ac:dyDescent="0.35"/>
    <row r="60" spans="29:33" ht="15.75" customHeight="1" x14ac:dyDescent="0.35"/>
    <row r="61" spans="29:33" ht="15.75" customHeight="1" x14ac:dyDescent="0.35"/>
    <row r="62" spans="29:33" ht="15.75" customHeight="1" x14ac:dyDescent="0.35"/>
    <row r="63" spans="29:33" ht="15.75" customHeight="1" x14ac:dyDescent="0.35"/>
    <row r="64" spans="29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AC38:AG57">
    <sortCondition ref="AG37:AG57"/>
  </sortState>
  <mergeCells count="12">
    <mergeCell ref="M3:O3"/>
    <mergeCell ref="M4:O4"/>
    <mergeCell ref="M5:O5"/>
    <mergeCell ref="G2:I2"/>
    <mergeCell ref="G3:I3"/>
    <mergeCell ref="G4:I4"/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Ferry Limarch Lionando_4222311002</cp:lastModifiedBy>
  <cp:lastPrinted>2026-04-20T14:25:24Z</cp:lastPrinted>
  <dcterms:created xsi:type="dcterms:W3CDTF">2025-03-25T06:11:06Z</dcterms:created>
  <dcterms:modified xsi:type="dcterms:W3CDTF">2026-04-20T15:08:24Z</dcterms:modified>
</cp:coreProperties>
</file>