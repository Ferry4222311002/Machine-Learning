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POLTEK\Semester 6\RE603\WEEK 5\"/>
    </mc:Choice>
  </mc:AlternateContent>
  <xr:revisionPtr revIDLastSave="0" documentId="13_ncr:1_{6B67E51B-E6C8-4352-A29F-EB61DE3382D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u2JWmfzS08WmRCHUuT9UE0sF0Of3TcSqrLxnMObgYH8="/>
    </ext>
  </extLst>
</workbook>
</file>

<file path=xl/calcChain.xml><?xml version="1.0" encoding="utf-8"?>
<calcChain xmlns="http://schemas.openxmlformats.org/spreadsheetml/2006/main">
  <c r="L19" i="1" l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S37" i="1"/>
  <c r="S34" i="1"/>
  <c r="S31" i="1"/>
  <c r="S27" i="1"/>
  <c r="S21" i="1"/>
  <c r="S19" i="1"/>
  <c r="S18" i="1"/>
  <c r="S20" i="1"/>
  <c r="S24" i="1"/>
  <c r="S28" i="1"/>
  <c r="S33" i="1"/>
  <c r="S30" i="1"/>
  <c r="S26" i="1"/>
  <c r="S22" i="1"/>
  <c r="S25" i="1"/>
  <c r="S23" i="1"/>
  <c r="S29" i="1"/>
  <c r="S32" i="1"/>
  <c r="S35" i="1"/>
  <c r="S36" i="1"/>
  <c r="L18" i="1"/>
  <c r="AE57" i="1"/>
  <c r="AE56" i="1"/>
  <c r="AE55" i="1"/>
  <c r="AE54" i="1"/>
  <c r="AE53" i="1"/>
  <c r="AE52" i="1"/>
  <c r="AE51" i="1"/>
  <c r="AE50" i="1"/>
  <c r="AE49" i="1"/>
  <c r="AE48" i="1"/>
  <c r="AE47" i="1"/>
  <c r="AE46" i="1"/>
  <c r="AE45" i="1"/>
  <c r="AE44" i="1"/>
  <c r="AE43" i="1"/>
  <c r="AE42" i="1"/>
  <c r="AE41" i="1"/>
  <c r="AE40" i="1"/>
  <c r="AE39" i="1"/>
  <c r="AE38" i="1"/>
</calcChain>
</file>

<file path=xl/sharedStrings.xml><?xml version="1.0" encoding="utf-8"?>
<sst xmlns="http://schemas.openxmlformats.org/spreadsheetml/2006/main" count="141" uniqueCount="25">
  <si>
    <t>Cara Kerja KNN</t>
  </si>
  <si>
    <t>1. Persiapan Data</t>
  </si>
  <si>
    <t>ID</t>
  </si>
  <si>
    <t>X1</t>
  </si>
  <si>
    <t>X2</t>
  </si>
  <si>
    <t>Y</t>
  </si>
  <si>
    <t xml:space="preserve">Titik baru </t>
  </si>
  <si>
    <t>A</t>
  </si>
  <si>
    <t>X1 = 4</t>
  </si>
  <si>
    <t>X2 = 5</t>
  </si>
  <si>
    <t>B</t>
  </si>
  <si>
    <t>2. Pengukuran Jarak</t>
  </si>
  <si>
    <t>3 - 6 Pemilihan Jumlah Tetangga (K = 3) dan identifikasi tetangga terdekat</t>
  </si>
  <si>
    <t>4. Visualisasi Persebaran Data (BEFORE)</t>
  </si>
  <si>
    <t>Menggunakan jarak euclidean, untuk menghitung jarak antara titik baru (X1 = 4, X2 = 5) dari setiap titik data.</t>
  </si>
  <si>
    <t># Urutkan data berdasarkan jarak dari yang terkecil</t>
  </si>
  <si>
    <t># Tentukan 3 tetangga terdekat</t>
  </si>
  <si>
    <t>ID 14 = Jarak 2 = Kelas A</t>
  </si>
  <si>
    <t>ID 5 = Jarak 2.236 = Kelas B</t>
  </si>
  <si>
    <t>ID = Jarak 2.236 = Kelas B</t>
  </si>
  <si>
    <t>Jarak dari (4,5)</t>
  </si>
  <si>
    <t>Mayoritas adalah B (2 suara B, 1 suara A)</t>
  </si>
  <si>
    <t>?</t>
  </si>
  <si>
    <r>
      <rPr>
        <sz val="11"/>
        <color theme="1"/>
        <rFont val="Calibri"/>
      </rPr>
      <t>Maka titik baru (X1 = 4, X2 = 5) akan diklasifikasikan ke kelas B berdasarkan algoritma</t>
    </r>
    <r>
      <rPr>
        <b/>
        <sz val="11"/>
        <color theme="1"/>
        <rFont val="Calibri"/>
      </rPr>
      <t xml:space="preserve"> KNN </t>
    </r>
    <r>
      <rPr>
        <sz val="11"/>
        <color theme="1"/>
        <rFont val="Calibri"/>
      </rPr>
      <t xml:space="preserve">dengan </t>
    </r>
    <r>
      <rPr>
        <b/>
        <sz val="11"/>
        <color theme="1"/>
        <rFont val="Calibri"/>
      </rPr>
      <t>K = 3</t>
    </r>
  </si>
  <si>
    <t>Visualisasi Persebaran Data Setelah Menggunakan Model KNN (AFTER)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</si>
</sst>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36"/>
      <color rgb="FF002060"/>
      <name val="Calibri"/>
    </font>
    <font>
      <b/>
      <sz val="11"/>
      <color theme="1"/>
      <name val="Calibri"/>
    </font>
    <font>
      <b/>
      <sz val="11"/>
      <color rgb="FFFF0000"/>
      <name val="Calibri"/>
    </font>
    <font>
      <sz val="11"/>
      <color theme="1"/>
      <name val="Calibri"/>
    </font>
    <font>
      <sz val="11"/>
      <color rgb="FFFF0000"/>
      <name val="Calibri"/>
    </font>
    <font>
      <sz val="11"/>
      <color theme="1"/>
      <name val="Calibri"/>
      <scheme val="minor"/>
    </font>
    <font>
      <sz val="11"/>
      <color rgb="FFC00000"/>
      <name val="Calibri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4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ID" sz="1400" b="0" i="0">
                <a:solidFill>
                  <a:srgbClr val="757575"/>
                </a:solidFill>
                <a:latin typeface="+mn-lt"/>
              </a:rPr>
              <a:t>Visualisasi Persebaran Data (BEFORE)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A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Sheet1!$D$14</c:f>
              <c:numCache>
                <c:formatCode>General</c:formatCode>
                <c:ptCount val="1"/>
                <c:pt idx="0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D3-444C-93F2-02F9AFB543E3}"/>
            </c:ext>
          </c:extLst>
        </c:ser>
        <c:ser>
          <c:idx val="1"/>
          <c:order val="1"/>
          <c:tx>
            <c:v>B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Sheet1!$D$16:$D$17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6D3-444C-93F2-02F9AFB543E3}"/>
            </c:ext>
          </c:extLst>
        </c:ser>
        <c:ser>
          <c:idx val="2"/>
          <c:order val="2"/>
          <c:tx>
            <c:v>Titik Baru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Sheet1!$D$20:$D$21</c:f>
              <c:numCache>
                <c:formatCode>General</c:formatCode>
                <c:ptCount val="2"/>
                <c:pt idx="0">
                  <c:v>5</c:v>
                </c:pt>
                <c:pt idx="1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6D3-444C-93F2-02F9AFB543E3}"/>
            </c:ext>
          </c:extLst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Sheet1!$E$6:$E$8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6D3-444C-93F2-02F9AFB543E3}"/>
            </c:ext>
          </c:extLst>
        </c:ser>
        <c:ser>
          <c:idx val="4"/>
          <c:order val="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Sheet1!$E$12:$E$13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6D3-444C-93F2-02F9AFB543E3}"/>
            </c:ext>
          </c:extLst>
        </c:ser>
        <c:ser>
          <c:idx val="5"/>
          <c:order val="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Sheet1!$E$15</c:f>
              <c:numCache>
                <c:formatCode>General</c:formatCode>
                <c:ptCount val="1"/>
                <c:pt idx="0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6D3-444C-93F2-02F9AFB543E3}"/>
            </c:ext>
          </c:extLst>
        </c:ser>
        <c:ser>
          <c:idx val="6"/>
          <c:order val="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0000"/>
                </a:schemeClr>
              </a:solidFill>
              <a:ln cmpd="sng">
                <a:solidFill>
                  <a:schemeClr val="accent1">
                    <a:lumOff val="30000"/>
                  </a:schemeClr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Sheet1!$E$18:$E$19</c:f>
              <c:numCache>
                <c:formatCode>General</c:formatCode>
                <c:ptCount val="2"/>
                <c:pt idx="0">
                  <c:v>7</c:v>
                </c:pt>
                <c:pt idx="1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6D3-444C-93F2-02F9AFB543E3}"/>
            </c:ext>
          </c:extLst>
        </c:ser>
        <c:ser>
          <c:idx val="7"/>
          <c:order val="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0000"/>
                </a:schemeClr>
              </a:solidFill>
              <a:ln cmpd="sng">
                <a:solidFill>
                  <a:schemeClr val="accent2">
                    <a:lumOff val="30000"/>
                  </a:schemeClr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Sheet1!$E$22:$E$23</c:f>
              <c:numCache>
                <c:formatCode>General</c:formatCode>
                <c:ptCount val="2"/>
                <c:pt idx="0">
                  <c:v>9</c:v>
                </c:pt>
                <c:pt idx="1">
                  <c:v>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6D3-444C-93F2-02F9AFB543E3}"/>
            </c:ext>
          </c:extLst>
        </c:ser>
        <c:ser>
          <c:idx val="8"/>
          <c:order val="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0000"/>
                </a:schemeClr>
              </a:solidFill>
              <a:ln cmpd="sng">
                <a:solidFill>
                  <a:schemeClr val="accent3">
                    <a:lumOff val="30000"/>
                  </a:schemeClr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Sheet1!$E$9:$E$11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6D3-444C-93F2-02F9AFB543E3}"/>
            </c:ext>
          </c:extLst>
        </c:ser>
        <c:ser>
          <c:idx val="9"/>
          <c:order val="9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>
                  <a:lumOff val="30000"/>
                </a:schemeClr>
              </a:solidFill>
              <a:ln cmpd="sng">
                <a:solidFill>
                  <a:schemeClr val="accent4">
                    <a:lumOff val="30000"/>
                  </a:schemeClr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Sheet1!$E$14</c:f>
              <c:numCache>
                <c:formatCode>General</c:formatCode>
                <c:ptCount val="1"/>
                <c:pt idx="0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6D3-444C-93F2-02F9AFB543E3}"/>
            </c:ext>
          </c:extLst>
        </c:ser>
        <c:ser>
          <c:idx val="10"/>
          <c:order val="1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>
                  <a:lumOff val="30000"/>
                </a:schemeClr>
              </a:solidFill>
              <a:ln cmpd="sng">
                <a:solidFill>
                  <a:schemeClr val="accent5">
                    <a:lumOff val="30000"/>
                  </a:schemeClr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Sheet1!$E$16:$E$17</c:f>
              <c:numCache>
                <c:formatCode>General</c:formatCode>
                <c:ptCount val="2"/>
                <c:pt idx="0">
                  <c:v>6</c:v>
                </c:pt>
                <c:pt idx="1">
                  <c:v>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6D3-444C-93F2-02F9AFB543E3}"/>
            </c:ext>
          </c:extLst>
        </c:ser>
        <c:ser>
          <c:idx val="11"/>
          <c:order val="11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>
                  <a:lumOff val="30000"/>
                </a:schemeClr>
              </a:solidFill>
              <a:ln cmpd="sng">
                <a:solidFill>
                  <a:schemeClr val="accent6">
                    <a:lumOff val="30000"/>
                  </a:schemeClr>
                </a:solidFill>
              </a:ln>
            </c:spPr>
          </c:marker>
          <c:xVal>
            <c:numRef>
              <c:f>Sheet1!$D$9:$D$11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xVal>
          <c:yVal>
            <c:numRef>
              <c:f>Sheet1!$E$20:$E$21</c:f>
              <c:numCache>
                <c:formatCode>General</c:formatCode>
                <c:ptCount val="2"/>
                <c:pt idx="0">
                  <c:v>8</c:v>
                </c:pt>
                <c:pt idx="1">
                  <c:v>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96D3-444C-93F2-02F9AFB54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64100"/>
        <c:axId val="1460971953"/>
      </c:scatterChart>
      <c:valAx>
        <c:axId val="5996410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60971953"/>
        <c:crosses val="autoZero"/>
        <c:crossBetween val="midCat"/>
      </c:valAx>
      <c:valAx>
        <c:axId val="14609719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996410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ID" sz="1400" b="0" i="0">
                <a:solidFill>
                  <a:srgbClr val="757575"/>
                </a:solidFill>
                <a:latin typeface="+mn-lt"/>
              </a:rPr>
              <a:t>Visualisasi Data KNN, K= 3 (AFTER)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A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Sheet1!$AB$38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Sheet1!$AB$41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06F-45DE-B6DD-5332FDF857E7}"/>
            </c:ext>
          </c:extLst>
        </c:ser>
        <c:ser>
          <c:idx val="1"/>
          <c:order val="1"/>
          <c:tx>
            <c:v>B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Sheet1!$AB$38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Sheet1!$AB$44:$AB$45</c:f>
              <c:numCache>
                <c:formatCode>General</c:formatCode>
                <c:ptCount val="2"/>
                <c:pt idx="0">
                  <c:v>3</c:v>
                </c:pt>
                <c:pt idx="1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06F-45DE-B6DD-5332FDF857E7}"/>
            </c:ext>
          </c:extLst>
        </c:ser>
        <c:ser>
          <c:idx val="2"/>
          <c:order val="2"/>
          <c:tx>
            <c:v>Titik Baru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Sheet1!$AB$38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Sheet1!$AB$49:$AB$51</c:f>
              <c:numCache>
                <c:formatCode>General</c:formatCode>
                <c:ptCount val="3"/>
                <c:pt idx="0">
                  <c:v>8</c:v>
                </c:pt>
                <c:pt idx="1">
                  <c:v>2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06F-45DE-B6DD-5332FDF857E7}"/>
            </c:ext>
          </c:extLst>
        </c:ser>
        <c:ser>
          <c:idx val="3"/>
          <c:order val="3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4"/>
              </a:solidFill>
              <a:ln cmpd="sng">
                <a:solidFill>
                  <a:schemeClr val="accent4"/>
                </a:solidFill>
              </a:ln>
            </c:spPr>
          </c:marker>
          <c:xVal>
            <c:numRef>
              <c:f>Sheet1!$AB$38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Sheet1!$AB$53:$AB$55</c:f>
              <c:numCache>
                <c:formatCode>General</c:formatCode>
                <c:ptCount val="3"/>
                <c:pt idx="0">
                  <c:v>7</c:v>
                </c:pt>
                <c:pt idx="1">
                  <c:v>8</c:v>
                </c:pt>
                <c:pt idx="2">
                  <c:v>10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06F-45DE-B6DD-5332FDF857E7}"/>
            </c:ext>
          </c:extLst>
        </c:ser>
        <c:ser>
          <c:idx val="4"/>
          <c:order val="4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xVal>
            <c:numRef>
              <c:f>Sheet1!$AB$38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Sheet1!$AC$38</c:f>
              <c:numCache>
                <c:formatCode>General</c:formatCode>
                <c:ptCount val="1"/>
                <c:pt idx="0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06F-45DE-B6DD-5332FDF857E7}"/>
            </c:ext>
          </c:extLst>
        </c:ser>
        <c:ser>
          <c:idx val="5"/>
          <c:order val="5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6"/>
              </a:solidFill>
              <a:ln cmpd="sng">
                <a:solidFill>
                  <a:schemeClr val="accent6"/>
                </a:solidFill>
              </a:ln>
            </c:spPr>
          </c:marker>
          <c:xVal>
            <c:numRef>
              <c:f>Sheet1!$AB$38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Sheet1!$AC$41</c:f>
              <c:numCache>
                <c:formatCode>General</c:formatCode>
                <c:ptCount val="1"/>
                <c:pt idx="0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06F-45DE-B6DD-5332FDF857E7}"/>
            </c:ext>
          </c:extLst>
        </c:ser>
        <c:ser>
          <c:idx val="6"/>
          <c:order val="6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>
                  <a:lumOff val="30000"/>
                </a:schemeClr>
              </a:solidFill>
              <a:ln cmpd="sng">
                <a:solidFill>
                  <a:schemeClr val="accent1">
                    <a:lumOff val="30000"/>
                  </a:schemeClr>
                </a:solidFill>
              </a:ln>
            </c:spPr>
          </c:marker>
          <c:xVal>
            <c:numRef>
              <c:f>Sheet1!$AB$38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Sheet1!$AC$44:$AC$45</c:f>
              <c:numCache>
                <c:formatCode>General</c:formatCode>
                <c:ptCount val="2"/>
                <c:pt idx="0">
                  <c:v>2</c:v>
                </c:pt>
                <c:pt idx="1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06F-45DE-B6DD-5332FDF857E7}"/>
            </c:ext>
          </c:extLst>
        </c:ser>
        <c:ser>
          <c:idx val="7"/>
          <c:order val="7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>
                  <a:lumOff val="30000"/>
                </a:schemeClr>
              </a:solidFill>
              <a:ln cmpd="sng">
                <a:solidFill>
                  <a:schemeClr val="accent2">
                    <a:lumOff val="30000"/>
                  </a:schemeClr>
                </a:solidFill>
              </a:ln>
            </c:spPr>
          </c:marker>
          <c:xVal>
            <c:numRef>
              <c:f>Sheet1!$AB$38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Sheet1!$AC$49:$AC$51</c:f>
              <c:numCache>
                <c:formatCode>General</c:formatCode>
                <c:ptCount val="3"/>
                <c:pt idx="0">
                  <c:v>4</c:v>
                </c:pt>
                <c:pt idx="1">
                  <c:v>1</c:v>
                </c:pt>
                <c:pt idx="2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06F-45DE-B6DD-5332FDF857E7}"/>
            </c:ext>
          </c:extLst>
        </c:ser>
        <c:ser>
          <c:idx val="8"/>
          <c:order val="8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>
                  <a:lumOff val="30000"/>
                </a:schemeClr>
              </a:solidFill>
              <a:ln cmpd="sng">
                <a:solidFill>
                  <a:schemeClr val="accent3">
                    <a:lumOff val="30000"/>
                  </a:schemeClr>
                </a:solidFill>
              </a:ln>
            </c:spPr>
          </c:marker>
          <c:xVal>
            <c:numRef>
              <c:f>Sheet1!$AB$38</c:f>
              <c:numCache>
                <c:formatCode>General</c:formatCode>
                <c:ptCount val="1"/>
                <c:pt idx="0">
                  <c:v>4</c:v>
                </c:pt>
              </c:numCache>
            </c:numRef>
          </c:xVal>
          <c:yVal>
            <c:numRef>
              <c:f>Sheet1!$AC$53:$AC$55</c:f>
              <c:numCache>
                <c:formatCode>General</c:formatCode>
                <c:ptCount val="3"/>
                <c:pt idx="0">
                  <c:v>9</c:v>
                </c:pt>
                <c:pt idx="1">
                  <c:v>9</c:v>
                </c:pt>
                <c:pt idx="2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06F-45DE-B6DD-5332FDF85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4161847"/>
        <c:axId val="43429832"/>
      </c:scatterChart>
      <c:valAx>
        <c:axId val="160416184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3429832"/>
        <c:crosses val="autoZero"/>
        <c:crossBetween val="midCat"/>
      </c:valAx>
      <c:valAx>
        <c:axId val="434298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D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04161847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31</xdr:col>
      <xdr:colOff>600075</xdr:colOff>
      <xdr:row>9</xdr:row>
      <xdr:rowOff>180975</xdr:rowOff>
    </xdr:from>
    <xdr:ext cx="4371975" cy="2686050"/>
    <xdr:graphicFrame macro="">
      <xdr:nvGraphicFramePr>
        <xdr:cNvPr id="269722822" name="Chart 1">
          <a:extLst>
            <a:ext uri="{FF2B5EF4-FFF2-40B4-BE49-F238E27FC236}">
              <a16:creationId xmlns:a16="http://schemas.microsoft.com/office/drawing/2014/main" id="{00000000-0008-0000-0000-0000C6A41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31</xdr:col>
      <xdr:colOff>600075</xdr:colOff>
      <xdr:row>37</xdr:row>
      <xdr:rowOff>19050</xdr:rowOff>
    </xdr:from>
    <xdr:ext cx="4324350" cy="2876550"/>
    <xdr:graphicFrame macro="">
      <xdr:nvGraphicFramePr>
        <xdr:cNvPr id="1329484564" name="Chart 2">
          <a:extLst>
            <a:ext uri="{FF2B5EF4-FFF2-40B4-BE49-F238E27FC236}">
              <a16:creationId xmlns:a16="http://schemas.microsoft.com/office/drawing/2014/main" id="{00000000-0008-0000-0000-000014533E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33</xdr:col>
      <xdr:colOff>152400</xdr:colOff>
      <xdr:row>41</xdr:row>
      <xdr:rowOff>133350</xdr:rowOff>
    </xdr:from>
    <xdr:ext cx="1095375" cy="12001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803075" y="3184688"/>
          <a:ext cx="1085850" cy="1190625"/>
        </a:xfrm>
        <a:custGeom>
          <a:avLst/>
          <a:gdLst/>
          <a:ahLst/>
          <a:cxnLst/>
          <a:rect l="l" t="t" r="r" b="b"/>
          <a:pathLst>
            <a:path w="1143000" h="1127264" extrusionOk="0">
              <a:moveTo>
                <a:pt x="0" y="289943"/>
              </a:moveTo>
              <a:cubicBezTo>
                <a:pt x="0" y="302367"/>
                <a:pt x="6948" y="317342"/>
                <a:pt x="8283" y="331356"/>
              </a:cubicBezTo>
              <a:cubicBezTo>
                <a:pt x="9533" y="344483"/>
                <a:pt x="4065" y="447159"/>
                <a:pt x="24848" y="488726"/>
              </a:cubicBezTo>
              <a:cubicBezTo>
                <a:pt x="29300" y="497630"/>
                <a:pt x="35891" y="505291"/>
                <a:pt x="41413" y="513574"/>
              </a:cubicBezTo>
              <a:cubicBezTo>
                <a:pt x="44174" y="524617"/>
                <a:pt x="45212" y="536241"/>
                <a:pt x="49696" y="546704"/>
              </a:cubicBezTo>
              <a:cubicBezTo>
                <a:pt x="53734" y="556127"/>
                <a:pt x="88278" y="600907"/>
                <a:pt x="91109" y="604682"/>
              </a:cubicBezTo>
              <a:cubicBezTo>
                <a:pt x="105665" y="648348"/>
                <a:pt x="89772" y="613017"/>
                <a:pt x="124239" y="654378"/>
              </a:cubicBezTo>
              <a:cubicBezTo>
                <a:pt x="130612" y="662025"/>
                <a:pt x="133766" y="672187"/>
                <a:pt x="140805" y="679226"/>
              </a:cubicBezTo>
              <a:cubicBezTo>
                <a:pt x="147844" y="686265"/>
                <a:pt x="158005" y="689418"/>
                <a:pt x="165652" y="695791"/>
              </a:cubicBezTo>
              <a:cubicBezTo>
                <a:pt x="174650" y="703290"/>
                <a:pt x="182217" y="712356"/>
                <a:pt x="190500" y="720639"/>
              </a:cubicBezTo>
              <a:cubicBezTo>
                <a:pt x="193261" y="728922"/>
                <a:pt x="193329" y="738669"/>
                <a:pt x="198783" y="745487"/>
              </a:cubicBezTo>
              <a:cubicBezTo>
                <a:pt x="205002" y="753260"/>
                <a:pt x="215984" y="755679"/>
                <a:pt x="223631" y="762052"/>
              </a:cubicBezTo>
              <a:cubicBezTo>
                <a:pt x="232630" y="769551"/>
                <a:pt x="241288" y="777654"/>
                <a:pt x="248479" y="786900"/>
              </a:cubicBezTo>
              <a:cubicBezTo>
                <a:pt x="264461" y="807448"/>
                <a:pt x="275957" y="836498"/>
                <a:pt x="298174" y="853161"/>
              </a:cubicBezTo>
              <a:cubicBezTo>
                <a:pt x="314101" y="865106"/>
                <a:pt x="331074" y="875602"/>
                <a:pt x="347870" y="886291"/>
              </a:cubicBezTo>
              <a:cubicBezTo>
                <a:pt x="369470" y="900036"/>
                <a:pt x="398200" y="917327"/>
                <a:pt x="422413" y="927704"/>
              </a:cubicBezTo>
              <a:cubicBezTo>
                <a:pt x="430438" y="931143"/>
                <a:pt x="438738" y="934093"/>
                <a:pt x="447261" y="935987"/>
              </a:cubicBezTo>
              <a:cubicBezTo>
                <a:pt x="463655" y="939630"/>
                <a:pt x="480392" y="941508"/>
                <a:pt x="496957" y="944269"/>
              </a:cubicBezTo>
              <a:cubicBezTo>
                <a:pt x="510761" y="952552"/>
                <a:pt x="523345" y="963338"/>
                <a:pt x="538370" y="969117"/>
              </a:cubicBezTo>
              <a:cubicBezTo>
                <a:pt x="584333" y="986795"/>
                <a:pt x="630928" y="988604"/>
                <a:pt x="679174" y="993965"/>
              </a:cubicBezTo>
              <a:cubicBezTo>
                <a:pt x="690218" y="999487"/>
                <a:pt x="700956" y="1005666"/>
                <a:pt x="712305" y="1010530"/>
              </a:cubicBezTo>
              <a:cubicBezTo>
                <a:pt x="733966" y="1019813"/>
                <a:pt x="746917" y="1020085"/>
                <a:pt x="770283" y="1027095"/>
              </a:cubicBezTo>
              <a:cubicBezTo>
                <a:pt x="787008" y="1032112"/>
                <a:pt x="803414" y="1038139"/>
                <a:pt x="819979" y="1043661"/>
              </a:cubicBezTo>
              <a:lnTo>
                <a:pt x="844826" y="1051943"/>
              </a:lnTo>
              <a:cubicBezTo>
                <a:pt x="853109" y="1060226"/>
                <a:pt x="859928" y="1070293"/>
                <a:pt x="869674" y="1076791"/>
              </a:cubicBezTo>
              <a:cubicBezTo>
                <a:pt x="876938" y="1081634"/>
                <a:pt x="887537" y="1079836"/>
                <a:pt x="894522" y="1085074"/>
              </a:cubicBezTo>
              <a:cubicBezTo>
                <a:pt x="910140" y="1096787"/>
                <a:pt x="935935" y="1126487"/>
                <a:pt x="935935" y="1126487"/>
              </a:cubicBezTo>
              <a:cubicBezTo>
                <a:pt x="965848" y="1124727"/>
                <a:pt x="1067045" y="1137326"/>
                <a:pt x="1109870" y="1101639"/>
              </a:cubicBezTo>
              <a:cubicBezTo>
                <a:pt x="1117517" y="1095266"/>
                <a:pt x="1121983" y="1085695"/>
                <a:pt x="1126435" y="1076791"/>
              </a:cubicBezTo>
              <a:cubicBezTo>
                <a:pt x="1133084" y="1063493"/>
                <a:pt x="1137478" y="1049182"/>
                <a:pt x="1143000" y="1035378"/>
              </a:cubicBezTo>
              <a:cubicBezTo>
                <a:pt x="1140239" y="982921"/>
                <a:pt x="1140739" y="930191"/>
                <a:pt x="1134718" y="878008"/>
              </a:cubicBezTo>
              <a:cubicBezTo>
                <a:pt x="1129531" y="833055"/>
                <a:pt x="1118523" y="829794"/>
                <a:pt x="1109870" y="795182"/>
              </a:cubicBezTo>
              <a:cubicBezTo>
                <a:pt x="1106456" y="781525"/>
                <a:pt x="1106039" y="767124"/>
                <a:pt x="1101587" y="753769"/>
              </a:cubicBezTo>
              <a:cubicBezTo>
                <a:pt x="1097683" y="742056"/>
                <a:pt x="1089886" y="731987"/>
                <a:pt x="1085022" y="720639"/>
              </a:cubicBezTo>
              <a:cubicBezTo>
                <a:pt x="1081583" y="712614"/>
                <a:pt x="1080178" y="703816"/>
                <a:pt x="1076739" y="695791"/>
              </a:cubicBezTo>
              <a:cubicBezTo>
                <a:pt x="1071875" y="684443"/>
                <a:pt x="1065038" y="674010"/>
                <a:pt x="1060174" y="662661"/>
              </a:cubicBezTo>
              <a:cubicBezTo>
                <a:pt x="1056735" y="654636"/>
                <a:pt x="1055331" y="645838"/>
                <a:pt x="1051892" y="637813"/>
              </a:cubicBezTo>
              <a:cubicBezTo>
                <a:pt x="1047028" y="626464"/>
                <a:pt x="1040190" y="616031"/>
                <a:pt x="1035326" y="604682"/>
              </a:cubicBezTo>
              <a:cubicBezTo>
                <a:pt x="1031887" y="596657"/>
                <a:pt x="1030948" y="587643"/>
                <a:pt x="1027044" y="579834"/>
              </a:cubicBezTo>
              <a:cubicBezTo>
                <a:pt x="1022592" y="570931"/>
                <a:pt x="1014931" y="563890"/>
                <a:pt x="1010479" y="554987"/>
              </a:cubicBezTo>
              <a:cubicBezTo>
                <a:pt x="1006574" y="547178"/>
                <a:pt x="1006528" y="537719"/>
                <a:pt x="1002196" y="530139"/>
              </a:cubicBezTo>
              <a:cubicBezTo>
                <a:pt x="995347" y="518153"/>
                <a:pt x="985631" y="508052"/>
                <a:pt x="977348" y="497008"/>
              </a:cubicBezTo>
              <a:cubicBezTo>
                <a:pt x="953886" y="426620"/>
                <a:pt x="986609" y="512443"/>
                <a:pt x="952500" y="455595"/>
              </a:cubicBezTo>
              <a:cubicBezTo>
                <a:pt x="948008" y="448109"/>
                <a:pt x="948123" y="438556"/>
                <a:pt x="944218" y="430747"/>
              </a:cubicBezTo>
              <a:cubicBezTo>
                <a:pt x="939766" y="421844"/>
                <a:pt x="933174" y="414182"/>
                <a:pt x="927652" y="405900"/>
              </a:cubicBezTo>
              <a:cubicBezTo>
                <a:pt x="924891" y="392096"/>
                <a:pt x="924313" y="377668"/>
                <a:pt x="919370" y="364487"/>
              </a:cubicBezTo>
              <a:cubicBezTo>
                <a:pt x="895001" y="299500"/>
                <a:pt x="908550" y="377916"/>
                <a:pt x="894522" y="314791"/>
              </a:cubicBezTo>
              <a:cubicBezTo>
                <a:pt x="890879" y="298397"/>
                <a:pt x="890015" y="281459"/>
                <a:pt x="886239" y="265095"/>
              </a:cubicBezTo>
              <a:cubicBezTo>
                <a:pt x="881719" y="245510"/>
                <a:pt x="874962" y="226508"/>
                <a:pt x="869674" y="207117"/>
              </a:cubicBezTo>
              <a:cubicBezTo>
                <a:pt x="847721" y="126622"/>
                <a:pt x="881831" y="235302"/>
                <a:pt x="836544" y="99443"/>
              </a:cubicBezTo>
              <a:cubicBezTo>
                <a:pt x="833783" y="91160"/>
                <a:pt x="835525" y="79438"/>
                <a:pt x="828261" y="74595"/>
              </a:cubicBezTo>
              <a:cubicBezTo>
                <a:pt x="771302" y="36622"/>
                <a:pt x="797453" y="47761"/>
                <a:pt x="753718" y="33182"/>
              </a:cubicBezTo>
              <a:cubicBezTo>
                <a:pt x="740051" y="19515"/>
                <a:pt x="725750" y="1723"/>
                <a:pt x="704022" y="52"/>
              </a:cubicBezTo>
              <a:cubicBezTo>
                <a:pt x="690447" y="-992"/>
                <a:pt x="591467" y="13764"/>
                <a:pt x="571500" y="16617"/>
              </a:cubicBezTo>
              <a:cubicBezTo>
                <a:pt x="563217" y="22139"/>
                <a:pt x="555295" y="28243"/>
                <a:pt x="546652" y="33182"/>
              </a:cubicBezTo>
              <a:cubicBezTo>
                <a:pt x="535932" y="39308"/>
                <a:pt x="523163" y="42034"/>
                <a:pt x="513522" y="49747"/>
              </a:cubicBezTo>
              <a:cubicBezTo>
                <a:pt x="495229" y="64382"/>
                <a:pt x="463826" y="99443"/>
                <a:pt x="463826" y="99443"/>
              </a:cubicBezTo>
              <a:cubicBezTo>
                <a:pt x="461065" y="107726"/>
                <a:pt x="456508" y="115614"/>
                <a:pt x="455544" y="124291"/>
              </a:cubicBezTo>
              <a:cubicBezTo>
                <a:pt x="450961" y="165542"/>
                <a:pt x="458972" y="208712"/>
                <a:pt x="447261" y="248530"/>
              </a:cubicBezTo>
              <a:cubicBezTo>
                <a:pt x="443777" y="260375"/>
                <a:pt x="425174" y="259573"/>
                <a:pt x="414131" y="265095"/>
              </a:cubicBezTo>
              <a:cubicBezTo>
                <a:pt x="367225" y="312004"/>
                <a:pt x="387880" y="299602"/>
                <a:pt x="256761" y="273378"/>
              </a:cubicBezTo>
              <a:cubicBezTo>
                <a:pt x="225707" y="267167"/>
                <a:pt x="237703" y="236456"/>
                <a:pt x="215348" y="223682"/>
              </a:cubicBezTo>
              <a:cubicBezTo>
                <a:pt x="203125" y="216698"/>
                <a:pt x="187821" y="217714"/>
                <a:pt x="173935" y="215400"/>
              </a:cubicBezTo>
              <a:cubicBezTo>
                <a:pt x="154678" y="212191"/>
                <a:pt x="135283" y="209878"/>
                <a:pt x="115957" y="207117"/>
              </a:cubicBezTo>
              <a:cubicBezTo>
                <a:pt x="-12811" y="217848"/>
                <a:pt x="29585" y="182259"/>
                <a:pt x="8283" y="256813"/>
              </a:cubicBezTo>
              <a:cubicBezTo>
                <a:pt x="6587" y="262749"/>
                <a:pt x="0" y="277519"/>
                <a:pt x="0" y="289943"/>
              </a:cubicBezTo>
              <a:close/>
            </a:path>
          </a:pathLst>
        </a:custGeom>
        <a:noFill/>
        <a:ln w="12700" cap="flat" cmpd="sng">
          <a:solidFill>
            <a:srgbClr val="C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0</xdr:colOff>
      <xdr:row>11</xdr:row>
      <xdr:rowOff>95250</xdr:rowOff>
    </xdr:from>
    <xdr:ext cx="3333750" cy="4381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AE1000"/>
  <sheetViews>
    <sheetView tabSelected="1" topLeftCell="I8" workbookViewId="0">
      <selection activeCell="R22" sqref="R22"/>
    </sheetView>
  </sheetViews>
  <sheetFormatPr defaultColWidth="14.453125" defaultRowHeight="15" customHeight="1" x14ac:dyDescent="0.35"/>
  <cols>
    <col min="1" max="11" width="8.7265625" customWidth="1"/>
    <col min="12" max="12" width="14.08984375" customWidth="1"/>
    <col min="13" max="18" width="8.7265625" customWidth="1"/>
    <col min="19" max="19" width="14.08984375" customWidth="1"/>
    <col min="20" max="40" width="8.7265625" customWidth="1"/>
  </cols>
  <sheetData>
    <row r="2" spans="3:30" ht="46" x14ac:dyDescent="1">
      <c r="J2" s="11" t="s">
        <v>0</v>
      </c>
      <c r="K2" s="12"/>
      <c r="L2" s="12"/>
      <c r="M2" s="12"/>
      <c r="N2" s="12"/>
    </row>
    <row r="4" spans="3:30" ht="14.5" x14ac:dyDescent="0.35">
      <c r="C4" s="1" t="s">
        <v>1</v>
      </c>
    </row>
    <row r="5" spans="3:30" ht="29" x14ac:dyDescent="0.35">
      <c r="C5" s="2" t="s">
        <v>2</v>
      </c>
      <c r="D5" s="2" t="s">
        <v>3</v>
      </c>
      <c r="E5" s="2" t="s">
        <v>4</v>
      </c>
      <c r="F5" s="2" t="s">
        <v>5</v>
      </c>
      <c r="H5" s="3" t="s">
        <v>6</v>
      </c>
    </row>
    <row r="6" spans="3:30" ht="14.5" x14ac:dyDescent="0.35">
      <c r="C6" s="4">
        <v>1</v>
      </c>
      <c r="D6" s="4">
        <v>1</v>
      </c>
      <c r="E6" s="4">
        <v>1</v>
      </c>
      <c r="F6" s="4" t="s">
        <v>7</v>
      </c>
      <c r="H6" s="5" t="s">
        <v>8</v>
      </c>
    </row>
    <row r="7" spans="3:30" ht="14.5" x14ac:dyDescent="0.35">
      <c r="C7" s="4">
        <v>2</v>
      </c>
      <c r="D7" s="4">
        <v>2</v>
      </c>
      <c r="E7" s="4">
        <v>1</v>
      </c>
      <c r="F7" s="4" t="s">
        <v>7</v>
      </c>
      <c r="H7" s="5" t="s">
        <v>9</v>
      </c>
    </row>
    <row r="8" spans="3:30" ht="14.5" x14ac:dyDescent="0.35">
      <c r="C8" s="4">
        <v>3</v>
      </c>
      <c r="D8" s="4">
        <v>3</v>
      </c>
      <c r="E8" s="4">
        <v>2</v>
      </c>
      <c r="F8" s="4" t="s">
        <v>7</v>
      </c>
    </row>
    <row r="9" spans="3:30" ht="15" customHeight="1" x14ac:dyDescent="0.35">
      <c r="C9" s="4">
        <v>4</v>
      </c>
      <c r="D9" s="4">
        <v>4</v>
      </c>
      <c r="E9" s="4">
        <v>2</v>
      </c>
      <c r="F9" s="4" t="s">
        <v>10</v>
      </c>
      <c r="H9" s="13" t="s">
        <v>11</v>
      </c>
      <c r="I9" s="12"/>
      <c r="O9" s="14" t="s">
        <v>12</v>
      </c>
      <c r="P9" s="12"/>
      <c r="Q9" s="12"/>
      <c r="R9" s="12"/>
      <c r="S9" s="12"/>
      <c r="AA9" s="13" t="s">
        <v>13</v>
      </c>
      <c r="AB9" s="12"/>
      <c r="AC9" s="12"/>
      <c r="AD9" s="12"/>
    </row>
    <row r="10" spans="3:30" ht="14.5" x14ac:dyDescent="0.35">
      <c r="C10" s="4">
        <v>5</v>
      </c>
      <c r="D10" s="4">
        <v>5</v>
      </c>
      <c r="E10" s="4">
        <v>3</v>
      </c>
      <c r="F10" s="4" t="s">
        <v>10</v>
      </c>
      <c r="H10" s="15" t="s">
        <v>14</v>
      </c>
      <c r="I10" s="12"/>
      <c r="J10" s="12"/>
      <c r="K10" s="12"/>
      <c r="L10" s="12"/>
      <c r="M10" s="12"/>
      <c r="O10" s="12"/>
      <c r="P10" s="12"/>
      <c r="Q10" s="12"/>
      <c r="R10" s="12"/>
      <c r="S10" s="12"/>
    </row>
    <row r="11" spans="3:30" ht="14.5" x14ac:dyDescent="0.35">
      <c r="C11" s="4">
        <v>6</v>
      </c>
      <c r="D11" s="4">
        <v>6</v>
      </c>
      <c r="E11" s="4">
        <v>3</v>
      </c>
      <c r="F11" s="4" t="s">
        <v>10</v>
      </c>
      <c r="H11" s="12"/>
      <c r="I11" s="12"/>
      <c r="J11" s="12"/>
      <c r="K11" s="12"/>
      <c r="L11" s="12"/>
      <c r="M11" s="12"/>
      <c r="O11" s="6" t="s">
        <v>15</v>
      </c>
      <c r="AA11" s="2" t="s">
        <v>2</v>
      </c>
      <c r="AB11" s="2" t="s">
        <v>3</v>
      </c>
      <c r="AC11" s="2" t="s">
        <v>4</v>
      </c>
      <c r="AD11" s="2" t="s">
        <v>5</v>
      </c>
    </row>
    <row r="12" spans="3:30" ht="14.5" x14ac:dyDescent="0.35">
      <c r="C12" s="4">
        <v>7</v>
      </c>
      <c r="D12" s="4">
        <v>7</v>
      </c>
      <c r="E12" s="4">
        <v>4</v>
      </c>
      <c r="F12" s="4" t="s">
        <v>7</v>
      </c>
      <c r="H12" s="7"/>
      <c r="O12" s="6" t="s">
        <v>16</v>
      </c>
      <c r="AA12" s="4">
        <v>1</v>
      </c>
      <c r="AB12" s="4">
        <v>1</v>
      </c>
      <c r="AC12" s="4">
        <v>1</v>
      </c>
      <c r="AD12" s="4" t="s">
        <v>7</v>
      </c>
    </row>
    <row r="13" spans="3:30" ht="14.5" x14ac:dyDescent="0.35">
      <c r="C13" s="4">
        <v>8</v>
      </c>
      <c r="D13" s="4">
        <v>8</v>
      </c>
      <c r="E13" s="4">
        <v>4</v>
      </c>
      <c r="F13" s="4" t="s">
        <v>7</v>
      </c>
      <c r="O13" s="6" t="s">
        <v>17</v>
      </c>
      <c r="AA13" s="4">
        <v>2</v>
      </c>
      <c r="AB13" s="4">
        <v>2</v>
      </c>
      <c r="AC13" s="4">
        <v>1</v>
      </c>
      <c r="AD13" s="4" t="s">
        <v>7</v>
      </c>
    </row>
    <row r="14" spans="3:30" ht="14.5" x14ac:dyDescent="0.35">
      <c r="C14" s="4">
        <v>9</v>
      </c>
      <c r="D14" s="4">
        <v>9</v>
      </c>
      <c r="E14" s="4">
        <v>5</v>
      </c>
      <c r="F14" s="4" t="s">
        <v>10</v>
      </c>
      <c r="O14" s="6" t="s">
        <v>18</v>
      </c>
      <c r="AA14" s="4">
        <v>3</v>
      </c>
      <c r="AB14" s="4">
        <v>3</v>
      </c>
      <c r="AC14" s="4">
        <v>2</v>
      </c>
      <c r="AD14" s="4" t="s">
        <v>7</v>
      </c>
    </row>
    <row r="15" spans="3:30" ht="14.5" x14ac:dyDescent="0.35">
      <c r="C15" s="4">
        <v>10</v>
      </c>
      <c r="D15" s="4">
        <v>10</v>
      </c>
      <c r="E15" s="4">
        <v>5</v>
      </c>
      <c r="F15" s="4" t="s">
        <v>7</v>
      </c>
      <c r="O15" s="6" t="s">
        <v>19</v>
      </c>
      <c r="AA15" s="4">
        <v>4</v>
      </c>
      <c r="AB15" s="4">
        <v>4</v>
      </c>
      <c r="AC15" s="4">
        <v>2</v>
      </c>
      <c r="AD15" s="4" t="s">
        <v>10</v>
      </c>
    </row>
    <row r="16" spans="3:30" ht="19.5" customHeight="1" x14ac:dyDescent="0.35">
      <c r="C16" s="4">
        <v>11</v>
      </c>
      <c r="D16" s="4">
        <v>1</v>
      </c>
      <c r="E16" s="4">
        <v>6</v>
      </c>
      <c r="F16" s="4" t="s">
        <v>10</v>
      </c>
      <c r="AA16" s="4">
        <v>5</v>
      </c>
      <c r="AB16" s="4">
        <v>5</v>
      </c>
      <c r="AC16" s="4">
        <v>3</v>
      </c>
      <c r="AD16" s="4" t="s">
        <v>10</v>
      </c>
    </row>
    <row r="17" spans="3:30" ht="14.5" x14ac:dyDescent="0.35">
      <c r="C17" s="4">
        <v>12</v>
      </c>
      <c r="D17" s="4">
        <v>2</v>
      </c>
      <c r="E17" s="4">
        <v>6</v>
      </c>
      <c r="F17" s="4" t="s">
        <v>10</v>
      </c>
      <c r="H17" s="2" t="s">
        <v>2</v>
      </c>
      <c r="I17" s="2" t="s">
        <v>3</v>
      </c>
      <c r="J17" s="2" t="s">
        <v>4</v>
      </c>
      <c r="K17" s="2" t="s">
        <v>5</v>
      </c>
      <c r="L17" s="2" t="s">
        <v>20</v>
      </c>
      <c r="O17" s="2" t="s">
        <v>2</v>
      </c>
      <c r="P17" s="2" t="s">
        <v>3</v>
      </c>
      <c r="Q17" s="2" t="s">
        <v>4</v>
      </c>
      <c r="R17" s="2" t="s">
        <v>5</v>
      </c>
      <c r="S17" s="2" t="s">
        <v>20</v>
      </c>
      <c r="AA17" s="4">
        <v>6</v>
      </c>
      <c r="AB17" s="4">
        <v>6</v>
      </c>
      <c r="AC17" s="4">
        <v>3</v>
      </c>
      <c r="AD17" s="4" t="s">
        <v>10</v>
      </c>
    </row>
    <row r="18" spans="3:30" ht="14.5" x14ac:dyDescent="0.35">
      <c r="C18" s="4">
        <v>13</v>
      </c>
      <c r="D18" s="4">
        <v>3</v>
      </c>
      <c r="E18" s="4">
        <v>7</v>
      </c>
      <c r="F18" s="4" t="s">
        <v>7</v>
      </c>
      <c r="H18" s="4">
        <v>1</v>
      </c>
      <c r="I18" s="4">
        <v>1</v>
      </c>
      <c r="J18" s="4">
        <v>1</v>
      </c>
      <c r="K18" s="4" t="s">
        <v>7</v>
      </c>
      <c r="L18" s="8">
        <f>SQRT((I18-5)^2+(J18-6)^2)</f>
        <v>6.4031242374328485</v>
      </c>
      <c r="O18" s="17">
        <v>14</v>
      </c>
      <c r="P18" s="17">
        <v>4</v>
      </c>
      <c r="Q18" s="17">
        <v>7</v>
      </c>
      <c r="R18" s="17" t="s">
        <v>7</v>
      </c>
      <c r="S18" s="18">
        <f>SQRT((P18-5)^2+(Q18-6)^2)</f>
        <v>1.4142135623730951</v>
      </c>
      <c r="AA18" s="4">
        <v>7</v>
      </c>
      <c r="AB18" s="4">
        <v>7</v>
      </c>
      <c r="AC18" s="4">
        <v>4</v>
      </c>
      <c r="AD18" s="4" t="s">
        <v>7</v>
      </c>
    </row>
    <row r="19" spans="3:30" ht="14.5" x14ac:dyDescent="0.35">
      <c r="C19" s="4">
        <v>14</v>
      </c>
      <c r="D19" s="4">
        <v>4</v>
      </c>
      <c r="E19" s="4">
        <v>7</v>
      </c>
      <c r="F19" s="4" t="s">
        <v>7</v>
      </c>
      <c r="H19" s="4">
        <v>2</v>
      </c>
      <c r="I19" s="4">
        <v>2</v>
      </c>
      <c r="J19" s="4">
        <v>1</v>
      </c>
      <c r="K19" s="4" t="s">
        <v>7</v>
      </c>
      <c r="L19" s="8">
        <f t="shared" ref="L19:L37" si="0">SQRT((I19-5)^2+(J19-6)^2)</f>
        <v>5.8309518948453007</v>
      </c>
      <c r="O19" s="17">
        <v>15</v>
      </c>
      <c r="P19" s="17">
        <v>5</v>
      </c>
      <c r="Q19" s="17">
        <v>8</v>
      </c>
      <c r="R19" s="17" t="s">
        <v>10</v>
      </c>
      <c r="S19" s="18">
        <f>SQRT((P19-5)^2+(Q19-6)^2)</f>
        <v>2</v>
      </c>
      <c r="AA19" s="4">
        <v>8</v>
      </c>
      <c r="AB19" s="4">
        <v>8</v>
      </c>
      <c r="AC19" s="4">
        <v>4</v>
      </c>
      <c r="AD19" s="4" t="s">
        <v>7</v>
      </c>
    </row>
    <row r="20" spans="3:30" ht="14.5" x14ac:dyDescent="0.35">
      <c r="C20" s="4">
        <v>15</v>
      </c>
      <c r="D20" s="4">
        <v>5</v>
      </c>
      <c r="E20" s="4">
        <v>8</v>
      </c>
      <c r="F20" s="4" t="s">
        <v>10</v>
      </c>
      <c r="H20" s="4">
        <v>3</v>
      </c>
      <c r="I20" s="4">
        <v>3</v>
      </c>
      <c r="J20" s="4">
        <v>2</v>
      </c>
      <c r="K20" s="4" t="s">
        <v>7</v>
      </c>
      <c r="L20" s="8">
        <f t="shared" si="0"/>
        <v>4.4721359549995796</v>
      </c>
      <c r="O20" s="17">
        <v>13</v>
      </c>
      <c r="P20" s="17">
        <v>3</v>
      </c>
      <c r="Q20" s="17">
        <v>7</v>
      </c>
      <c r="R20" s="17" t="s">
        <v>7</v>
      </c>
      <c r="S20" s="18">
        <f>SQRT((P20-5)^2+(Q20-6)^2)</f>
        <v>2.2360679774997898</v>
      </c>
      <c r="AA20" s="4">
        <v>9</v>
      </c>
      <c r="AB20" s="4">
        <v>9</v>
      </c>
      <c r="AC20" s="4">
        <v>5</v>
      </c>
      <c r="AD20" s="4" t="s">
        <v>10</v>
      </c>
    </row>
    <row r="21" spans="3:30" ht="15.75" customHeight="1" x14ac:dyDescent="0.35">
      <c r="C21" s="4">
        <v>16</v>
      </c>
      <c r="D21" s="4">
        <v>6</v>
      </c>
      <c r="E21" s="4">
        <v>8</v>
      </c>
      <c r="F21" s="4" t="s">
        <v>10</v>
      </c>
      <c r="H21" s="4">
        <v>4</v>
      </c>
      <c r="I21" s="4">
        <v>4</v>
      </c>
      <c r="J21" s="4">
        <v>2</v>
      </c>
      <c r="K21" s="4" t="s">
        <v>10</v>
      </c>
      <c r="L21" s="8">
        <f t="shared" si="0"/>
        <v>4.1231056256176606</v>
      </c>
      <c r="O21" s="17">
        <v>16</v>
      </c>
      <c r="P21" s="17">
        <v>6</v>
      </c>
      <c r="Q21" s="17">
        <v>8</v>
      </c>
      <c r="R21" s="17" t="s">
        <v>10</v>
      </c>
      <c r="S21" s="18">
        <f>SQRT((P21-5)^2+(Q21-6)^2)</f>
        <v>2.2360679774997898</v>
      </c>
      <c r="AA21" s="4">
        <v>10</v>
      </c>
      <c r="AB21" s="4">
        <v>10</v>
      </c>
      <c r="AC21" s="4">
        <v>5</v>
      </c>
      <c r="AD21" s="4" t="s">
        <v>7</v>
      </c>
    </row>
    <row r="22" spans="3:30" ht="15.75" customHeight="1" x14ac:dyDescent="0.35">
      <c r="C22" s="4">
        <v>17</v>
      </c>
      <c r="D22" s="4">
        <v>7</v>
      </c>
      <c r="E22" s="4">
        <v>9</v>
      </c>
      <c r="F22" s="4" t="s">
        <v>7</v>
      </c>
      <c r="H22" s="4">
        <v>5</v>
      </c>
      <c r="I22" s="4">
        <v>5</v>
      </c>
      <c r="J22" s="4">
        <v>3</v>
      </c>
      <c r="K22" s="4" t="s">
        <v>10</v>
      </c>
      <c r="L22" s="8">
        <f t="shared" si="0"/>
        <v>3</v>
      </c>
      <c r="O22" s="17">
        <v>7</v>
      </c>
      <c r="P22" s="17">
        <v>7</v>
      </c>
      <c r="Q22" s="17">
        <v>4</v>
      </c>
      <c r="R22" s="17" t="s">
        <v>7</v>
      </c>
      <c r="S22" s="18">
        <f>SQRT((P22-5)^2+(Q22-6)^2)</f>
        <v>2.8284271247461903</v>
      </c>
      <c r="AA22" s="4">
        <v>11</v>
      </c>
      <c r="AB22" s="4">
        <v>1</v>
      </c>
      <c r="AC22" s="4">
        <v>6</v>
      </c>
      <c r="AD22" s="4" t="s">
        <v>10</v>
      </c>
    </row>
    <row r="23" spans="3:30" ht="15.75" customHeight="1" x14ac:dyDescent="0.35">
      <c r="C23" s="4">
        <v>18</v>
      </c>
      <c r="D23" s="4">
        <v>8</v>
      </c>
      <c r="E23" s="4">
        <v>9</v>
      </c>
      <c r="F23" s="4" t="s">
        <v>7</v>
      </c>
      <c r="H23" s="4">
        <v>6</v>
      </c>
      <c r="I23" s="4">
        <v>6</v>
      </c>
      <c r="J23" s="4">
        <v>3</v>
      </c>
      <c r="K23" s="4" t="s">
        <v>10</v>
      </c>
      <c r="L23" s="8">
        <f t="shared" si="0"/>
        <v>3.1622776601683795</v>
      </c>
      <c r="O23" s="4">
        <v>5</v>
      </c>
      <c r="P23" s="4">
        <v>5</v>
      </c>
      <c r="Q23" s="4">
        <v>3</v>
      </c>
      <c r="R23" s="4" t="s">
        <v>10</v>
      </c>
      <c r="S23" s="8">
        <f>SQRT((P23-5)^2+(Q23-6)^2)</f>
        <v>3</v>
      </c>
      <c r="AA23" s="4">
        <v>12</v>
      </c>
      <c r="AB23" s="4">
        <v>2</v>
      </c>
      <c r="AC23" s="4">
        <v>6</v>
      </c>
      <c r="AD23" s="4" t="s">
        <v>10</v>
      </c>
    </row>
    <row r="24" spans="3:30" ht="15.75" customHeight="1" x14ac:dyDescent="0.35">
      <c r="C24" s="4">
        <v>19</v>
      </c>
      <c r="D24" s="4">
        <v>9</v>
      </c>
      <c r="E24" s="4">
        <v>10</v>
      </c>
      <c r="F24" s="4" t="s">
        <v>10</v>
      </c>
      <c r="H24" s="4">
        <v>7</v>
      </c>
      <c r="I24" s="4">
        <v>7</v>
      </c>
      <c r="J24" s="4">
        <v>4</v>
      </c>
      <c r="K24" s="4" t="s">
        <v>7</v>
      </c>
      <c r="L24" s="8">
        <f t="shared" si="0"/>
        <v>2.8284271247461903</v>
      </c>
      <c r="O24" s="4">
        <v>12</v>
      </c>
      <c r="P24" s="4">
        <v>2</v>
      </c>
      <c r="Q24" s="4">
        <v>6</v>
      </c>
      <c r="R24" s="4" t="s">
        <v>10</v>
      </c>
      <c r="S24" s="8">
        <f>SQRT((P24-5)^2+(Q24-6)^2)</f>
        <v>3</v>
      </c>
      <c r="AA24" s="4">
        <v>13</v>
      </c>
      <c r="AB24" s="4">
        <v>3</v>
      </c>
      <c r="AC24" s="4">
        <v>7</v>
      </c>
      <c r="AD24" s="4" t="s">
        <v>7</v>
      </c>
    </row>
    <row r="25" spans="3:30" ht="15.75" customHeight="1" x14ac:dyDescent="0.35">
      <c r="C25" s="4">
        <v>20</v>
      </c>
      <c r="D25" s="4">
        <v>10</v>
      </c>
      <c r="E25" s="4">
        <v>10</v>
      </c>
      <c r="F25" s="4" t="s">
        <v>7</v>
      </c>
      <c r="H25" s="4">
        <v>8</v>
      </c>
      <c r="I25" s="4">
        <v>8</v>
      </c>
      <c r="J25" s="4">
        <v>4</v>
      </c>
      <c r="K25" s="4" t="s">
        <v>7</v>
      </c>
      <c r="L25" s="8">
        <f t="shared" si="0"/>
        <v>3.6055512754639891</v>
      </c>
      <c r="O25" s="4">
        <v>6</v>
      </c>
      <c r="P25" s="4">
        <v>6</v>
      </c>
      <c r="Q25" s="4">
        <v>3</v>
      </c>
      <c r="R25" s="4" t="s">
        <v>10</v>
      </c>
      <c r="S25" s="8">
        <f>SQRT((P25-5)^2+(Q25-6)^2)</f>
        <v>3.1622776601683795</v>
      </c>
      <c r="U25" s="6" t="s">
        <v>21</v>
      </c>
      <c r="AA25" s="4">
        <v>14</v>
      </c>
      <c r="AB25" s="4">
        <v>4</v>
      </c>
      <c r="AC25" s="4">
        <v>7</v>
      </c>
      <c r="AD25" s="4" t="s">
        <v>7</v>
      </c>
    </row>
    <row r="26" spans="3:30" ht="15" customHeight="1" x14ac:dyDescent="0.35">
      <c r="C26" s="6">
        <v>21</v>
      </c>
      <c r="D26" s="6">
        <v>5</v>
      </c>
      <c r="E26" s="6">
        <v>6</v>
      </c>
      <c r="F26" s="6" t="s">
        <v>22</v>
      </c>
      <c r="H26" s="4">
        <v>9</v>
      </c>
      <c r="I26" s="4">
        <v>9</v>
      </c>
      <c r="J26" s="4">
        <v>5</v>
      </c>
      <c r="K26" s="4" t="s">
        <v>10</v>
      </c>
      <c r="L26" s="8">
        <f t="shared" si="0"/>
        <v>4.1231056256176606</v>
      </c>
      <c r="O26" s="4">
        <v>8</v>
      </c>
      <c r="P26" s="4">
        <v>8</v>
      </c>
      <c r="Q26" s="4">
        <v>4</v>
      </c>
      <c r="R26" s="4" t="s">
        <v>7</v>
      </c>
      <c r="S26" s="8">
        <f>SQRT((P26-5)^2+(Q26-6)^2)</f>
        <v>3.6055512754639891</v>
      </c>
      <c r="U26" s="15" t="s">
        <v>23</v>
      </c>
      <c r="V26" s="12"/>
      <c r="W26" s="12"/>
      <c r="X26" s="12"/>
      <c r="Y26" s="12"/>
      <c r="Z26" s="12"/>
      <c r="AA26" s="4">
        <v>15</v>
      </c>
      <c r="AB26" s="4">
        <v>5</v>
      </c>
      <c r="AC26" s="4">
        <v>8</v>
      </c>
      <c r="AD26" s="4" t="s">
        <v>10</v>
      </c>
    </row>
    <row r="27" spans="3:30" ht="15.75" customHeight="1" x14ac:dyDescent="0.35">
      <c r="H27" s="4">
        <v>10</v>
      </c>
      <c r="I27" s="4">
        <v>10</v>
      </c>
      <c r="J27" s="4">
        <v>5</v>
      </c>
      <c r="K27" s="4" t="s">
        <v>7</v>
      </c>
      <c r="L27" s="8">
        <f t="shared" si="0"/>
        <v>5.0990195135927845</v>
      </c>
      <c r="O27" s="4">
        <v>17</v>
      </c>
      <c r="P27" s="4">
        <v>7</v>
      </c>
      <c r="Q27" s="4">
        <v>9</v>
      </c>
      <c r="R27" s="4" t="s">
        <v>7</v>
      </c>
      <c r="S27" s="8">
        <f>SQRT((P27-5)^2+(Q27-6)^2)</f>
        <v>3.6055512754639891</v>
      </c>
      <c r="U27" s="12"/>
      <c r="V27" s="12"/>
      <c r="W27" s="12"/>
      <c r="X27" s="12"/>
      <c r="Y27" s="12"/>
      <c r="Z27" s="12"/>
      <c r="AA27" s="4">
        <v>16</v>
      </c>
      <c r="AB27" s="4">
        <v>6</v>
      </c>
      <c r="AC27" s="4">
        <v>8</v>
      </c>
      <c r="AD27" s="4" t="s">
        <v>10</v>
      </c>
    </row>
    <row r="28" spans="3:30" ht="15.75" customHeight="1" x14ac:dyDescent="0.35">
      <c r="H28" s="4">
        <v>11</v>
      </c>
      <c r="I28" s="4">
        <v>1</v>
      </c>
      <c r="J28" s="4">
        <v>6</v>
      </c>
      <c r="K28" s="4" t="s">
        <v>10</v>
      </c>
      <c r="L28" s="8">
        <f t="shared" si="0"/>
        <v>4</v>
      </c>
      <c r="O28" s="4">
        <v>11</v>
      </c>
      <c r="P28" s="4">
        <v>1</v>
      </c>
      <c r="Q28" s="4">
        <v>6</v>
      </c>
      <c r="R28" s="4" t="s">
        <v>10</v>
      </c>
      <c r="S28" s="8">
        <f>SQRT((P28-5)^2+(Q28-6)^2)</f>
        <v>4</v>
      </c>
      <c r="AA28" s="4">
        <v>17</v>
      </c>
      <c r="AB28" s="4">
        <v>7</v>
      </c>
      <c r="AC28" s="4">
        <v>9</v>
      </c>
      <c r="AD28" s="4" t="s">
        <v>7</v>
      </c>
    </row>
    <row r="29" spans="3:30" ht="15.75" customHeight="1" x14ac:dyDescent="0.35">
      <c r="H29" s="4">
        <v>12</v>
      </c>
      <c r="I29" s="4">
        <v>2</v>
      </c>
      <c r="J29" s="4">
        <v>6</v>
      </c>
      <c r="K29" s="4" t="s">
        <v>10</v>
      </c>
      <c r="L29" s="8">
        <f t="shared" si="0"/>
        <v>3</v>
      </c>
      <c r="O29" s="4">
        <v>4</v>
      </c>
      <c r="P29" s="4">
        <v>4</v>
      </c>
      <c r="Q29" s="4">
        <v>2</v>
      </c>
      <c r="R29" s="4" t="s">
        <v>10</v>
      </c>
      <c r="S29" s="8">
        <f>SQRT((P29-5)^2+(Q29-6)^2)</f>
        <v>4.1231056256176606</v>
      </c>
      <c r="AA29" s="4">
        <v>18</v>
      </c>
      <c r="AB29" s="4">
        <v>8</v>
      </c>
      <c r="AC29" s="4">
        <v>9</v>
      </c>
      <c r="AD29" s="4" t="s">
        <v>7</v>
      </c>
    </row>
    <row r="30" spans="3:30" ht="15.75" customHeight="1" x14ac:dyDescent="0.35">
      <c r="H30" s="4">
        <v>13</v>
      </c>
      <c r="I30" s="4">
        <v>3</v>
      </c>
      <c r="J30" s="4">
        <v>7</v>
      </c>
      <c r="K30" s="4" t="s">
        <v>7</v>
      </c>
      <c r="L30" s="8">
        <f t="shared" si="0"/>
        <v>2.2360679774997898</v>
      </c>
      <c r="O30" s="4">
        <v>9</v>
      </c>
      <c r="P30" s="4">
        <v>9</v>
      </c>
      <c r="Q30" s="4">
        <v>5</v>
      </c>
      <c r="R30" s="4" t="s">
        <v>10</v>
      </c>
      <c r="S30" s="8">
        <f>SQRT((P30-5)^2+(Q30-6)^2)</f>
        <v>4.1231056256176606</v>
      </c>
      <c r="AA30" s="4">
        <v>19</v>
      </c>
      <c r="AB30" s="4">
        <v>9</v>
      </c>
      <c r="AC30" s="4">
        <v>10</v>
      </c>
      <c r="AD30" s="4" t="s">
        <v>10</v>
      </c>
    </row>
    <row r="31" spans="3:30" ht="15.75" customHeight="1" x14ac:dyDescent="0.35">
      <c r="H31" s="4">
        <v>14</v>
      </c>
      <c r="I31" s="4">
        <v>4</v>
      </c>
      <c r="J31" s="4">
        <v>7</v>
      </c>
      <c r="K31" s="4" t="s">
        <v>7</v>
      </c>
      <c r="L31" s="8">
        <f t="shared" si="0"/>
        <v>1.4142135623730951</v>
      </c>
      <c r="O31" s="4">
        <v>18</v>
      </c>
      <c r="P31" s="4">
        <v>8</v>
      </c>
      <c r="Q31" s="4">
        <v>9</v>
      </c>
      <c r="R31" s="4" t="s">
        <v>7</v>
      </c>
      <c r="S31" s="8">
        <f>SQRT((P31-5)^2+(Q31-6)^2)</f>
        <v>4.2426406871192848</v>
      </c>
      <c r="AA31" s="4">
        <v>20</v>
      </c>
      <c r="AB31" s="4">
        <v>10</v>
      </c>
      <c r="AC31" s="4">
        <v>10</v>
      </c>
      <c r="AD31" s="4" t="s">
        <v>7</v>
      </c>
    </row>
    <row r="32" spans="3:30" ht="15.75" customHeight="1" x14ac:dyDescent="0.35">
      <c r="H32" s="4">
        <v>15</v>
      </c>
      <c r="I32" s="4">
        <v>5</v>
      </c>
      <c r="J32" s="4">
        <v>8</v>
      </c>
      <c r="K32" s="4" t="s">
        <v>10</v>
      </c>
      <c r="L32" s="8">
        <f t="shared" si="0"/>
        <v>2</v>
      </c>
      <c r="O32" s="4">
        <v>3</v>
      </c>
      <c r="P32" s="4">
        <v>3</v>
      </c>
      <c r="Q32" s="4">
        <v>2</v>
      </c>
      <c r="R32" s="4" t="s">
        <v>7</v>
      </c>
      <c r="S32" s="8">
        <f>SQRT((P32-5)^2+(Q32-6)^2)</f>
        <v>4.4721359549995796</v>
      </c>
    </row>
    <row r="33" spans="8:31" ht="15.75" customHeight="1" x14ac:dyDescent="0.35">
      <c r="H33" s="4">
        <v>16</v>
      </c>
      <c r="I33" s="4">
        <v>6</v>
      </c>
      <c r="J33" s="4">
        <v>8</v>
      </c>
      <c r="K33" s="4" t="s">
        <v>10</v>
      </c>
      <c r="L33" s="8">
        <f t="shared" si="0"/>
        <v>2.2360679774997898</v>
      </c>
      <c r="O33" s="4">
        <v>10</v>
      </c>
      <c r="P33" s="4">
        <v>10</v>
      </c>
      <c r="Q33" s="4">
        <v>5</v>
      </c>
      <c r="R33" s="4" t="s">
        <v>7</v>
      </c>
      <c r="S33" s="8">
        <f>SQRT((P33-5)^2+(Q33-6)^2)</f>
        <v>5.0990195135927845</v>
      </c>
    </row>
    <row r="34" spans="8:31" ht="15.75" customHeight="1" x14ac:dyDescent="0.35">
      <c r="H34" s="4">
        <v>17</v>
      </c>
      <c r="I34" s="4">
        <v>7</v>
      </c>
      <c r="J34" s="4">
        <v>9</v>
      </c>
      <c r="K34" s="4" t="s">
        <v>7</v>
      </c>
      <c r="L34" s="8">
        <f t="shared" si="0"/>
        <v>3.6055512754639891</v>
      </c>
      <c r="O34" s="4">
        <v>19</v>
      </c>
      <c r="P34" s="4">
        <v>9</v>
      </c>
      <c r="Q34" s="4">
        <v>10</v>
      </c>
      <c r="R34" s="4" t="s">
        <v>10</v>
      </c>
      <c r="S34" s="8">
        <f>SQRT((P34-5)^2+(Q34-6)^2)</f>
        <v>5.6568542494923806</v>
      </c>
      <c r="AA34" s="16" t="s">
        <v>24</v>
      </c>
      <c r="AB34" s="12"/>
      <c r="AC34" s="12"/>
      <c r="AD34" s="12"/>
    </row>
    <row r="35" spans="8:31" ht="15.75" customHeight="1" x14ac:dyDescent="0.35">
      <c r="H35" s="4">
        <v>18</v>
      </c>
      <c r="I35" s="4">
        <v>8</v>
      </c>
      <c r="J35" s="4">
        <v>9</v>
      </c>
      <c r="K35" s="4" t="s">
        <v>7</v>
      </c>
      <c r="L35" s="8">
        <f t="shared" si="0"/>
        <v>4.2426406871192848</v>
      </c>
      <c r="O35" s="4">
        <v>2</v>
      </c>
      <c r="P35" s="4">
        <v>2</v>
      </c>
      <c r="Q35" s="4">
        <v>1</v>
      </c>
      <c r="R35" s="4" t="s">
        <v>7</v>
      </c>
      <c r="S35" s="8">
        <f>SQRT((P35-5)^2+(Q35-6)^2)</f>
        <v>5.8309518948453007</v>
      </c>
      <c r="AA35" s="12"/>
      <c r="AB35" s="12"/>
      <c r="AC35" s="12"/>
      <c r="AD35" s="12"/>
    </row>
    <row r="36" spans="8:31" ht="15.75" customHeight="1" x14ac:dyDescent="0.35">
      <c r="H36" s="4">
        <v>19</v>
      </c>
      <c r="I36" s="4">
        <v>9</v>
      </c>
      <c r="J36" s="4">
        <v>10</v>
      </c>
      <c r="K36" s="4" t="s">
        <v>10</v>
      </c>
      <c r="L36" s="8">
        <f t="shared" si="0"/>
        <v>5.6568542494923806</v>
      </c>
      <c r="O36" s="4">
        <v>1</v>
      </c>
      <c r="P36" s="4">
        <v>1</v>
      </c>
      <c r="Q36" s="4">
        <v>1</v>
      </c>
      <c r="R36" s="4" t="s">
        <v>7</v>
      </c>
      <c r="S36" s="8">
        <f>SQRT((P36-5)^2+(Q36-6)^2)</f>
        <v>6.4031242374328485</v>
      </c>
    </row>
    <row r="37" spans="8:31" ht="15.75" customHeight="1" x14ac:dyDescent="0.35">
      <c r="H37" s="4">
        <v>20</v>
      </c>
      <c r="I37" s="4">
        <v>10</v>
      </c>
      <c r="J37" s="4">
        <v>10</v>
      </c>
      <c r="K37" s="4" t="s">
        <v>7</v>
      </c>
      <c r="L37" s="8">
        <f t="shared" si="0"/>
        <v>6.4031242374328485</v>
      </c>
      <c r="O37" s="4">
        <v>20</v>
      </c>
      <c r="P37" s="4">
        <v>10</v>
      </c>
      <c r="Q37" s="4">
        <v>10</v>
      </c>
      <c r="R37" s="4" t="s">
        <v>7</v>
      </c>
      <c r="S37" s="8">
        <f>SQRT((P37-5)^2+(Q37-6)^2)</f>
        <v>6.4031242374328485</v>
      </c>
      <c r="AA37" s="2" t="s">
        <v>2</v>
      </c>
      <c r="AB37" s="2" t="s">
        <v>3</v>
      </c>
      <c r="AC37" s="2" t="s">
        <v>4</v>
      </c>
      <c r="AD37" s="2" t="s">
        <v>5</v>
      </c>
      <c r="AE37" s="2" t="s">
        <v>20</v>
      </c>
    </row>
    <row r="38" spans="8:31" ht="15.75" customHeight="1" x14ac:dyDescent="0.35">
      <c r="AA38" s="9">
        <v>14</v>
      </c>
      <c r="AB38" s="9">
        <v>4</v>
      </c>
      <c r="AC38" s="9">
        <v>7</v>
      </c>
      <c r="AD38" s="9" t="s">
        <v>7</v>
      </c>
      <c r="AE38" s="10">
        <f t="shared" ref="AE38:AE57" si="1">SQRT((AB38-4)^2+(AC38-5)^2)</f>
        <v>2</v>
      </c>
    </row>
    <row r="39" spans="8:31" ht="15.75" customHeight="1" x14ac:dyDescent="0.35">
      <c r="AA39" s="9">
        <v>5</v>
      </c>
      <c r="AB39" s="9">
        <v>5</v>
      </c>
      <c r="AC39" s="9">
        <v>3</v>
      </c>
      <c r="AD39" s="9" t="s">
        <v>10</v>
      </c>
      <c r="AE39" s="10">
        <f t="shared" si="1"/>
        <v>2.2360679774997898</v>
      </c>
    </row>
    <row r="40" spans="8:31" ht="15.75" customHeight="1" x14ac:dyDescent="0.35">
      <c r="AA40" s="9">
        <v>12</v>
      </c>
      <c r="AB40" s="9">
        <v>2</v>
      </c>
      <c r="AC40" s="9">
        <v>6</v>
      </c>
      <c r="AD40" s="9" t="s">
        <v>10</v>
      </c>
      <c r="AE40" s="10">
        <f t="shared" si="1"/>
        <v>2.2360679774997898</v>
      </c>
    </row>
    <row r="41" spans="8:31" ht="15.75" customHeight="1" x14ac:dyDescent="0.35">
      <c r="AA41" s="4">
        <v>13</v>
      </c>
      <c r="AB41" s="4">
        <v>3</v>
      </c>
      <c r="AC41" s="4">
        <v>7</v>
      </c>
      <c r="AD41" s="4" t="s">
        <v>7</v>
      </c>
      <c r="AE41" s="8">
        <f t="shared" si="1"/>
        <v>2.2360679774997898</v>
      </c>
    </row>
    <row r="42" spans="8:31" ht="15.75" customHeight="1" x14ac:dyDescent="0.35">
      <c r="AA42" s="4">
        <v>6</v>
      </c>
      <c r="AB42" s="4">
        <v>6</v>
      </c>
      <c r="AC42" s="4">
        <v>3</v>
      </c>
      <c r="AD42" s="4" t="s">
        <v>10</v>
      </c>
      <c r="AE42" s="8">
        <f t="shared" si="1"/>
        <v>2.8284271247461903</v>
      </c>
    </row>
    <row r="43" spans="8:31" ht="15.75" customHeight="1" x14ac:dyDescent="0.35">
      <c r="AA43" s="4">
        <v>4</v>
      </c>
      <c r="AB43" s="4">
        <v>4</v>
      </c>
      <c r="AC43" s="4">
        <v>2</v>
      </c>
      <c r="AD43" s="4" t="s">
        <v>10</v>
      </c>
      <c r="AE43" s="8">
        <f t="shared" si="1"/>
        <v>3</v>
      </c>
    </row>
    <row r="44" spans="8:31" ht="15.75" customHeight="1" x14ac:dyDescent="0.35">
      <c r="AA44" s="4">
        <v>3</v>
      </c>
      <c r="AB44" s="4">
        <v>3</v>
      </c>
      <c r="AC44" s="4">
        <v>2</v>
      </c>
      <c r="AD44" s="4" t="s">
        <v>7</v>
      </c>
      <c r="AE44" s="8">
        <f t="shared" si="1"/>
        <v>3.1622776601683795</v>
      </c>
    </row>
    <row r="45" spans="8:31" ht="15.75" customHeight="1" x14ac:dyDescent="0.35">
      <c r="AA45" s="4">
        <v>7</v>
      </c>
      <c r="AB45" s="4">
        <v>7</v>
      </c>
      <c r="AC45" s="4">
        <v>4</v>
      </c>
      <c r="AD45" s="4" t="s">
        <v>7</v>
      </c>
      <c r="AE45" s="8">
        <f t="shared" si="1"/>
        <v>3.1622776601683795</v>
      </c>
    </row>
    <row r="46" spans="8:31" ht="15.75" customHeight="1" x14ac:dyDescent="0.35">
      <c r="AA46" s="4">
        <v>11</v>
      </c>
      <c r="AB46" s="4">
        <v>1</v>
      </c>
      <c r="AC46" s="4">
        <v>6</v>
      </c>
      <c r="AD46" s="4" t="s">
        <v>10</v>
      </c>
      <c r="AE46" s="8">
        <f t="shared" si="1"/>
        <v>3.1622776601683795</v>
      </c>
    </row>
    <row r="47" spans="8:31" ht="15.75" customHeight="1" x14ac:dyDescent="0.35">
      <c r="AA47" s="4">
        <v>15</v>
      </c>
      <c r="AB47" s="4">
        <v>5</v>
      </c>
      <c r="AC47" s="4">
        <v>8</v>
      </c>
      <c r="AD47" s="4" t="s">
        <v>10</v>
      </c>
      <c r="AE47" s="8">
        <f t="shared" si="1"/>
        <v>3.1622776601683795</v>
      </c>
    </row>
    <row r="48" spans="8:31" ht="15.75" customHeight="1" x14ac:dyDescent="0.35">
      <c r="AA48" s="4">
        <v>16</v>
      </c>
      <c r="AB48" s="4">
        <v>6</v>
      </c>
      <c r="AC48" s="4">
        <v>8</v>
      </c>
      <c r="AD48" s="4" t="s">
        <v>10</v>
      </c>
      <c r="AE48" s="8">
        <f t="shared" si="1"/>
        <v>3.6055512754639891</v>
      </c>
    </row>
    <row r="49" spans="27:31" ht="15.75" customHeight="1" x14ac:dyDescent="0.35">
      <c r="AA49" s="4">
        <v>8</v>
      </c>
      <c r="AB49" s="4">
        <v>8</v>
      </c>
      <c r="AC49" s="4">
        <v>4</v>
      </c>
      <c r="AD49" s="4" t="s">
        <v>7</v>
      </c>
      <c r="AE49" s="8">
        <f t="shared" si="1"/>
        <v>4.1231056256176606</v>
      </c>
    </row>
    <row r="50" spans="27:31" ht="15.75" customHeight="1" x14ac:dyDescent="0.35">
      <c r="AA50" s="4">
        <v>2</v>
      </c>
      <c r="AB50" s="4">
        <v>2</v>
      </c>
      <c r="AC50" s="4">
        <v>1</v>
      </c>
      <c r="AD50" s="4" t="s">
        <v>7</v>
      </c>
      <c r="AE50" s="8">
        <f t="shared" si="1"/>
        <v>4.4721359549995796</v>
      </c>
    </row>
    <row r="51" spans="27:31" ht="15.75" customHeight="1" x14ac:dyDescent="0.35">
      <c r="AA51" s="4">
        <v>1</v>
      </c>
      <c r="AB51" s="4">
        <v>1</v>
      </c>
      <c r="AC51" s="4">
        <v>1</v>
      </c>
      <c r="AD51" s="4" t="s">
        <v>7</v>
      </c>
      <c r="AE51" s="8">
        <f t="shared" si="1"/>
        <v>5</v>
      </c>
    </row>
    <row r="52" spans="27:31" ht="15.75" customHeight="1" x14ac:dyDescent="0.35">
      <c r="AA52" s="4">
        <v>9</v>
      </c>
      <c r="AB52" s="4">
        <v>9</v>
      </c>
      <c r="AC52" s="4">
        <v>5</v>
      </c>
      <c r="AD52" s="4" t="s">
        <v>10</v>
      </c>
      <c r="AE52" s="8">
        <f t="shared" si="1"/>
        <v>5</v>
      </c>
    </row>
    <row r="53" spans="27:31" ht="15.75" customHeight="1" x14ac:dyDescent="0.35">
      <c r="AA53" s="4">
        <v>17</v>
      </c>
      <c r="AB53" s="4">
        <v>7</v>
      </c>
      <c r="AC53" s="4">
        <v>9</v>
      </c>
      <c r="AD53" s="4" t="s">
        <v>7</v>
      </c>
      <c r="AE53" s="8">
        <f t="shared" si="1"/>
        <v>5</v>
      </c>
    </row>
    <row r="54" spans="27:31" ht="15.75" customHeight="1" x14ac:dyDescent="0.35">
      <c r="AA54" s="4">
        <v>18</v>
      </c>
      <c r="AB54" s="4">
        <v>8</v>
      </c>
      <c r="AC54" s="4">
        <v>9</v>
      </c>
      <c r="AD54" s="4" t="s">
        <v>7</v>
      </c>
      <c r="AE54" s="8">
        <f t="shared" si="1"/>
        <v>5.6568542494923806</v>
      </c>
    </row>
    <row r="55" spans="27:31" ht="15.75" customHeight="1" x14ac:dyDescent="0.35">
      <c r="AA55" s="4">
        <v>10</v>
      </c>
      <c r="AB55" s="4">
        <v>10</v>
      </c>
      <c r="AC55" s="4">
        <v>5</v>
      </c>
      <c r="AD55" s="4" t="s">
        <v>7</v>
      </c>
      <c r="AE55" s="8">
        <f t="shared" si="1"/>
        <v>6</v>
      </c>
    </row>
    <row r="56" spans="27:31" ht="15.75" customHeight="1" x14ac:dyDescent="0.35">
      <c r="AA56" s="4">
        <v>19</v>
      </c>
      <c r="AB56" s="4">
        <v>9</v>
      </c>
      <c r="AC56" s="4">
        <v>10</v>
      </c>
      <c r="AD56" s="4" t="s">
        <v>10</v>
      </c>
      <c r="AE56" s="8">
        <f t="shared" si="1"/>
        <v>7.0710678118654755</v>
      </c>
    </row>
    <row r="57" spans="27:31" ht="15.75" customHeight="1" x14ac:dyDescent="0.35">
      <c r="AA57" s="4">
        <v>20</v>
      </c>
      <c r="AB57" s="4">
        <v>10</v>
      </c>
      <c r="AC57" s="4">
        <v>10</v>
      </c>
      <c r="AD57" s="4" t="s">
        <v>7</v>
      </c>
      <c r="AE57" s="8">
        <f t="shared" si="1"/>
        <v>7.810249675906654</v>
      </c>
    </row>
    <row r="58" spans="27:31" ht="15.75" customHeight="1" x14ac:dyDescent="0.35"/>
    <row r="59" spans="27:31" ht="15.75" customHeight="1" x14ac:dyDescent="0.35"/>
    <row r="60" spans="27:31" ht="15.75" customHeight="1" x14ac:dyDescent="0.35"/>
    <row r="61" spans="27:31" ht="15.75" customHeight="1" x14ac:dyDescent="0.35"/>
    <row r="62" spans="27:31" ht="15.75" customHeight="1" x14ac:dyDescent="0.35"/>
    <row r="63" spans="27:31" ht="15.75" customHeight="1" x14ac:dyDescent="0.35"/>
    <row r="64" spans="27:31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ortState xmlns:xlrd2="http://schemas.microsoft.com/office/spreadsheetml/2017/richdata2" ref="O18:S37">
    <sortCondition ref="S18:S37"/>
  </sortState>
  <mergeCells count="7">
    <mergeCell ref="U26:Z27"/>
    <mergeCell ref="AA34:AD35"/>
    <mergeCell ref="J2:N2"/>
    <mergeCell ref="H9:I9"/>
    <mergeCell ref="O9:S10"/>
    <mergeCell ref="AA9:AD9"/>
    <mergeCell ref="H10:M11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Ferry Limarch Lionando_4222311002</cp:lastModifiedBy>
  <dcterms:created xsi:type="dcterms:W3CDTF">2025-03-25T06:11:06Z</dcterms:created>
  <dcterms:modified xsi:type="dcterms:W3CDTF">2026-04-14T13:56:47Z</dcterms:modified>
</cp:coreProperties>
</file>